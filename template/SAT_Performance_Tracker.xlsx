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rror Log" sheetId="2" state="visible" r:id="rId2"/>
    <sheet name="Config" sheetId="3" state="hidden" r:id="rId3"/>
  </sheets>
  <definedNames>
    <definedName name="_xlnm._FilterDatabase" localSheetId="1" hidden="1">'Error Log'!$A$1:$N$500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1B2A4A"/>
      <sz val="16"/>
    </font>
    <font>
      <name val="Segoe UI"/>
      <b val="1"/>
      <i val="1"/>
      <color rgb="001F4E78"/>
      <sz val="11"/>
    </font>
    <font>
      <name val="Segoe UI"/>
      <b val="1"/>
      <color rgb="00595959"/>
      <sz val="9"/>
    </font>
    <font>
      <name val="Segoe UI"/>
      <b val="1"/>
      <sz val="10"/>
    </font>
    <font>
      <name val="Segoe UI"/>
      <color rgb="00FFFFFF"/>
      <sz val="8"/>
    </font>
    <font>
      <name val="Segoe UI"/>
      <color rgb="000563C1"/>
      <sz val="9"/>
      <u val="single"/>
    </font>
  </fonts>
  <fills count="8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6EEF8"/>
        <bgColor rgb="00E6EEF8"/>
      </patternFill>
    </fill>
    <fill>
      <patternFill patternType="solid">
        <fgColor rgb="00F2F4F8"/>
        <bgColor rgb="00F2F4F8"/>
      </patternFill>
    </fill>
    <fill>
      <patternFill patternType="solid">
        <fgColor rgb="00FFF2CC"/>
        <bgColor rgb="00FFF2CC"/>
      </patternFill>
    </fill>
    <fill>
      <patternFill patternType="solid">
        <fgColor rgb="004A607A"/>
        <bgColor rgb="004A607A"/>
      </patternFill>
    </fill>
    <fill>
      <patternFill patternType="solid">
        <fgColor rgb="00F9FAFB"/>
        <bgColor rgb="00F9FAFB"/>
      </patternFill>
    </fill>
  </fills>
  <borders count="11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165" fontId="2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2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 wrapText="1"/>
    </xf>
    <xf numFmtId="165" fontId="2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2" fillId="5" borderId="1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name val="Segoe UI"/>
        <b val="1"/>
        <color rgb="00375623"/>
      </font>
      <fill>
        <patternFill patternType="solid">
          <fgColor rgb="00E2EFDA"/>
          <bgColor rgb="00E2EFDA"/>
        </patternFill>
      </fill>
    </dxf>
    <dxf>
      <font>
        <name val="Segoe UI"/>
        <b val="1"/>
        <color rgb="00548235"/>
      </font>
      <fill>
        <patternFill patternType="solid">
          <fgColor rgb="00EBF1E5"/>
          <bgColor rgb="00EBF1E5"/>
        </patternFill>
      </fill>
    </dxf>
    <dxf>
      <font>
        <name val="Segoe UI"/>
        <b val="1"/>
        <color rgb="007F6000"/>
      </font>
      <fill>
        <patternFill patternType="solid">
          <fgColor rgb="00FFF2CC"/>
          <bgColor rgb="00FFF2CC"/>
        </patternFill>
      </fill>
    </dxf>
    <dxf>
      <font>
        <name val="Segoe UI"/>
        <b val="1"/>
        <color rgb="00C65911"/>
      </font>
      <fill>
        <patternFill patternType="solid">
          <fgColor rgb="00FCE4D6"/>
          <bgColor rgb="00FCE4D6"/>
        </patternFill>
      </fill>
    </dxf>
    <dxf>
      <font>
        <name val="Segoe UI"/>
        <b val="1"/>
        <color rgb="00595959"/>
      </font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Score Progression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'Dashboard'!$C$13:$C$35</f>
            </numRef>
          </cat>
          <val>
            <numRef>
              <f>'Dashboard'!$F$13:$F$35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Section Score Trends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'Dashboard'!D12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'Dashboard'!$C$13:$C$35</f>
            </numRef>
          </cat>
          <val>
            <numRef>
              <f>'Dashboard'!$D$13:$D$35</f>
            </numRef>
          </val>
        </ser>
        <ser>
          <idx val="1"/>
          <order val="1"/>
          <tx>
            <strRef>
              <f>'Dashboard'!E12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'Dashboard'!$C$13:$C$35</f>
            </numRef>
          </cat>
          <val>
            <numRef>
              <f>'Dashboard'!$E$13:$E$35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Root Cause Distribution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'Config'!O1</f>
            </strRef>
          </tx>
          <spPr>
            <a:ln>
              <a:prstDash val="solid"/>
            </a:ln>
          </spPr>
          <cat>
            <numRef>
              <f>'Config'!$N$2:$N$41</f>
            </numRef>
          </cat>
          <val>
            <numRef>
              <f>'Config'!$O$2:$O$41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Root Cause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Math Topic Errors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'Config'!S1</f>
            </strRef>
          </tx>
          <spPr>
            <a:ln>
              <a:prstDash val="solid"/>
            </a:ln>
          </spPr>
          <cat>
            <numRef>
              <f>'Config'!$R$2:$R$5</f>
            </numRef>
          </cat>
          <val>
            <numRef>
              <f>'Config'!$S$2:$S$5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Errors Logged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Reading Topic Errors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'Config'!S5</f>
            </strRef>
          </tx>
          <spPr>
            <a:ln>
              <a:prstDash val="solid"/>
            </a:ln>
          </spPr>
          <cat>
            <numRef>
              <f>'Config'!$R$6:$R$9</f>
            </numRef>
          </cat>
          <val>
            <numRef>
              <f>'Config'!$S$6:$S$9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Errors Logged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Error Reduction Rate</a:t>
            </a:r>
          </a:p>
        </rich>
      </tx>
    </title>
    <plotArea>
      <lineChart>
        <grouping val="standard"/>
        <ser>
          <idx val="0"/>
          <order val="0"/>
          <tx>
            <strRef>
              <f>'Config'!AB1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'Config'!$V$2:$V$8</f>
            </numRef>
          </cat>
          <val>
            <numRef>
              <f>'Config'!$AB$2:$AB$8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 Ending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Errors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52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52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74</row>
      <rowOff>0</rowOff>
    </from>
    <ext cx="432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14</col>
      <colOff>0</colOff>
      <row>74</row>
      <rowOff>0</rowOff>
    </from>
    <ext cx="576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5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28" customWidth="1" min="4" max="4"/>
    <col width="27" customWidth="1" min="5" max="5"/>
    <col width="26" customWidth="1" min="6" max="6"/>
    <col width="19" customWidth="1" min="7" max="7"/>
    <col width="32" customWidth="1" min="8" max="8"/>
    <col width="20" customWidth="1" min="9" max="9"/>
    <col width="28" customWidth="1" min="10" max="10"/>
    <col width="30" customWidth="1" min="11" max="11"/>
    <col width="4" customWidth="1" min="12" max="12"/>
    <col width="28" customWidth="1" min="13" max="13"/>
    <col width="23" customWidth="1" min="14" max="14"/>
    <col width="21" customWidth="1" min="15" max="15"/>
    <col width="12" customWidth="1" min="16" max="16"/>
    <col width="17" customWidth="1" min="17" max="17"/>
    <col width="16" customWidth="1" min="18" max="18"/>
    <col width="2" customWidth="1" min="19" max="19"/>
    <col width="2" customWidth="1" min="20" max="20"/>
    <col width="26" customWidth="1" min="21" max="21"/>
    <col width="12" customWidth="1" min="22" max="22"/>
    <col width="26" customWidth="1" min="23" max="23"/>
    <col width="10" customWidth="1" min="24" max="24"/>
    <col width="26" customWidth="1" min="25" max="25"/>
    <col width="10" customWidth="1" min="26" max="26"/>
  </cols>
  <sheetData>
    <row r="1" ht="20" customHeight="1"/>
    <row r="2">
      <c r="A2" s="1" t="inlineStr">
        <is>
          <t>SAT PERFORMANCE TRACKING DASHBOARD</t>
        </is>
      </c>
    </row>
    <row r="3">
      <c r="A3" s="2" t="inlineStr">
        <is>
          <t>"The objective is not to get more questions right. The objective is to eliminate recurring error types. Scores improve automatically when recurring errors disappear."</t>
        </is>
      </c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5" t="n"/>
    </row>
    <row r="4">
      <c r="A4" s="36" t="n"/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8" t="n"/>
    </row>
    <row r="5" ht="18" customHeight="1">
      <c r="A5" s="4" t="inlineStr">
        <is>
          <t>CURRENT SAT SCORE</t>
        </is>
      </c>
      <c r="B5" s="39" t="n"/>
      <c r="C5" s="4" t="inlineStr">
        <is>
          <t>TARGET SAT SCORE</t>
        </is>
      </c>
      <c r="D5" s="39" t="n"/>
      <c r="E5" s="4" t="inlineStr">
        <is>
          <t>SCORE GAP</t>
        </is>
      </c>
      <c r="F5" s="4" t="inlineStr">
        <is>
          <t>AVG WEEKLY IMPROVEMENT</t>
        </is>
      </c>
      <c r="G5" s="39" t="n"/>
      <c r="H5" s="4" t="inlineStr">
        <is>
          <t>TESTS COMPLETED</t>
        </is>
      </c>
      <c r="I5" s="4" t="inlineStr">
        <is>
          <t>ERRORS LOGGED</t>
        </is>
      </c>
      <c r="J5" s="4" t="inlineStr">
        <is>
          <t>CURRENT LARGEST WEAKNESS</t>
        </is>
      </c>
      <c r="K5" s="39" t="n"/>
    </row>
    <row r="6" ht="28" customHeight="1">
      <c r="A6" s="5">
        <f>IF(COUNT(F13:F100)=0, "N/A", INDEX(F13:F100, MATCH(9.99E+307, F13:F100)))</f>
        <v/>
      </c>
      <c r="B6" s="39" t="n"/>
      <c r="C6" s="6" t="n">
        <v>1550</v>
      </c>
      <c r="D6" s="39" t="n"/>
      <c r="E6" s="5">
        <f>IF(ISNUMBER(A6), C6 - A6, "N/A")</f>
        <v/>
      </c>
      <c r="F6" s="5">
        <f>IF(COUNT(F13:F100)&lt;2, 0, (INDEX(F13:F100, MATCH(9.99E+307, F13:F100)) - F13) / MAX(1, (INDEX(A13:A100, MATCH(9.99E+307, F13:F100)) - A13)/7))</f>
        <v/>
      </c>
      <c r="G6" s="39" t="n"/>
      <c r="H6" s="5">
        <f>COUNT(F13:F100)</f>
        <v/>
      </c>
      <c r="I6" s="5">
        <f>COUNTA('Error Log'!A2:A500)</f>
        <v/>
      </c>
      <c r="J6" s="5">
        <f>IF(SUM('Config'!$K$2:$K$39)&gt;0, INDEX('Config'!$J$2:$J$39, MATCH(MAX('Config'!$K$2:$K$39), 'Config'!$K$2:$K$39, 0)), "None")</f>
        <v/>
      </c>
      <c r="K6" s="39" t="n"/>
    </row>
    <row r="12" ht="26" customHeight="1">
      <c r="A12" s="7" t="inlineStr">
        <is>
          <t>Date</t>
        </is>
      </c>
      <c r="B12" s="7" t="inlineStr">
        <is>
          <t>Practice Test Name</t>
        </is>
      </c>
      <c r="C12" s="7" t="inlineStr">
        <is>
          <t>Test Number</t>
        </is>
      </c>
      <c r="D12" s="7" t="inlineStr">
        <is>
          <t>Math Score</t>
        </is>
      </c>
      <c r="E12" s="7" t="inlineStr">
        <is>
          <t>Reading &amp; Writing Score</t>
        </is>
      </c>
      <c r="F12" s="7" t="inlineStr">
        <is>
          <t>Total Score</t>
        </is>
      </c>
      <c r="G12" s="7" t="inlineStr">
        <is>
          <t>Math Accuracy %</t>
        </is>
      </c>
      <c r="H12" s="7" t="inlineStr">
        <is>
          <t>Reading &amp; Writing Accuracy %</t>
        </is>
      </c>
      <c r="I12" s="7" t="inlineStr">
        <is>
          <t>Questions Missed</t>
        </is>
      </c>
      <c r="J12" s="7" t="inlineStr">
        <is>
          <t>Time Spent (Min)</t>
        </is>
      </c>
      <c r="K12" s="7" t="inlineStr">
        <is>
          <t>Notes</t>
        </is>
      </c>
      <c r="M12" s="8" t="inlineStr">
        <is>
          <t>TOPIC MASTERY &amp; STRENGTHS</t>
        </is>
      </c>
      <c r="N12" s="40" t="n"/>
      <c r="O12" s="40" t="n"/>
      <c r="P12" s="40" t="n"/>
      <c r="Q12" s="40" t="n"/>
      <c r="R12" s="39" t="n"/>
      <c r="U12" s="8" t="inlineStr">
        <is>
          <t>AUTO-GENERATED STUDY RECOMMENDATIONS (TOP 5)</t>
        </is>
      </c>
      <c r="V12" s="40" t="n"/>
      <c r="W12" s="40" t="n"/>
      <c r="X12" s="40" t="n"/>
      <c r="Y12" s="40" t="n"/>
      <c r="Z12" s="39" t="n"/>
    </row>
    <row r="13" ht="22" customHeight="1">
      <c r="A13" s="10" t="n"/>
      <c r="B13" s="11" t="n"/>
      <c r="C13" s="12" t="n"/>
      <c r="D13" s="13" t="n"/>
      <c r="E13" s="13" t="n"/>
      <c r="F13" s="14">
        <f>IF(AND(ISNUMBER(D13), ISNUMBER(E13)), D13+E13, "")</f>
        <v/>
      </c>
      <c r="G13" s="15" t="n"/>
      <c r="H13" s="15" t="n"/>
      <c r="I13" s="13" t="n"/>
      <c r="J13" s="13" t="n"/>
      <c r="K13" s="11" t="n"/>
      <c r="M13" s="16" t="inlineStr">
        <is>
          <t>Topic</t>
        </is>
      </c>
      <c r="N13" s="16" t="inlineStr">
        <is>
          <t>Questions Attempted</t>
        </is>
      </c>
      <c r="O13" s="16" t="inlineStr">
        <is>
          <t>Questions Correct</t>
        </is>
      </c>
      <c r="P13" s="16" t="inlineStr">
        <is>
          <t>Accuracy %</t>
        </is>
      </c>
      <c r="Q13" s="16" t="inlineStr">
        <is>
          <t>Errors Logged</t>
        </is>
      </c>
      <c r="R13" s="16" t="inlineStr">
        <is>
          <t>Mastery Status</t>
        </is>
      </c>
      <c r="U13" s="16" t="inlineStr">
        <is>
          <t>Top Weakest Topics</t>
        </is>
      </c>
      <c r="V13" s="16" t="inlineStr">
        <is>
          <t>Accuracy</t>
        </is>
      </c>
      <c r="W13" s="16" t="inlineStr">
        <is>
          <t>Top 5 Error Types</t>
        </is>
      </c>
      <c r="X13" s="16" t="inlineStr">
        <is>
          <t>Count</t>
        </is>
      </c>
      <c r="Y13" s="16" t="inlineStr">
        <is>
          <t>Top 5 Root Causes</t>
        </is>
      </c>
      <c r="Z13" s="16" t="inlineStr">
        <is>
          <t>Count</t>
        </is>
      </c>
    </row>
    <row r="14" ht="22" customHeight="1">
      <c r="A14" s="10" t="n"/>
      <c r="B14" s="11" t="n"/>
      <c r="C14" s="12" t="n"/>
      <c r="D14" s="13" t="n"/>
      <c r="E14" s="13" t="n"/>
      <c r="F14" s="14">
        <f>IF(AND(ISNUMBER(D14), ISNUMBER(E14)), D14+E14, "")</f>
        <v/>
      </c>
      <c r="G14" s="15" t="n"/>
      <c r="H14" s="15" t="n"/>
      <c r="I14" s="13" t="n"/>
      <c r="J14" s="13" t="n"/>
      <c r="K14" s="11" t="n"/>
      <c r="M14" s="17" t="inlineStr">
        <is>
          <t>Algebra</t>
        </is>
      </c>
      <c r="N14" s="13" t="n"/>
      <c r="O14" s="13" t="n"/>
      <c r="P14" s="18">
        <f>IF(N14&gt;0, O14/N14, 1.0)</f>
        <v/>
      </c>
      <c r="Q14" s="19">
        <f>COUNTIFS('Error Log'!$F$2:$F$500, M14)</f>
        <v/>
      </c>
      <c r="R14" s="20">
        <f>IF(P14&gt;=0.9, "Mastered", IF(P14&gt;=0.8, "Strong", IF(P14&gt;=0.7, "Developing", "Weak")))</f>
        <v/>
      </c>
      <c r="S14" s="21">
        <f>P14+ROW()/100000</f>
        <v/>
      </c>
      <c r="U14" s="22">
        <f>IF(INDEX(N$14:N$21, MATCH(SMALL(S$14:S$21, 1), S$14:S$21, 0))&gt;0, INDEX(M$14:M$21, MATCH(SMALL(S$14:S$21, 1), S$14:S$21, 0)), "")</f>
        <v/>
      </c>
      <c r="V14" s="23">
        <f>IF(U14="", "", INDEX(P$14:P$21, MATCH(SMALL(S$14:S$21, 1), S$14:S$21, 0)))</f>
        <v/>
      </c>
      <c r="W14" s="22">
        <f>IF(INDEX('Config'!$K$2:$K$39, MATCH(LARGE('Config'!$L$2:$L$39, 1), 'Config'!$L$2:$L$39, 0))&gt;0, INDEX('Config'!$J$2:$J$39, MATCH(LARGE('Config'!$L$2:$L$39, 1), 'Config'!$L$2:$L$39, 0)), "")</f>
        <v/>
      </c>
      <c r="X14" s="24">
        <f>IF(W14="", "", INDEX('Config'!$K$2:$K$39, MATCH(LARGE('Config'!$L$2:$L$39, 1), 'Config'!$L$2:$L$39, 0)))</f>
        <v/>
      </c>
      <c r="Y14" s="22">
        <f>IF(INDEX('Config'!$O$2:$O$41, MATCH(LARGE('Config'!$P$2:$P$41, 1), 'Config'!$P$2:$P$41, 0))&gt;0, INDEX('Config'!$N$2:$N$41, MATCH(LARGE('Config'!$P$2:$P$41, 1), 'Config'!$P$2:$P$41, 0)), "")</f>
        <v/>
      </c>
      <c r="Z14" s="24">
        <f>IF(Y14="", "", INDEX('Config'!$O$2:$O$41, MATCH(LARGE('Config'!$P$2:$P$41, 1), 'Config'!$P$2:$P$41, 0)))</f>
        <v/>
      </c>
    </row>
    <row r="15" ht="22" customHeight="1">
      <c r="A15" s="10" t="n"/>
      <c r="B15" s="11" t="n"/>
      <c r="C15" s="12" t="n"/>
      <c r="D15" s="13" t="n"/>
      <c r="E15" s="13" t="n"/>
      <c r="F15" s="14">
        <f>IF(AND(ISNUMBER(D15), ISNUMBER(E15)), D15+E15, "")</f>
        <v/>
      </c>
      <c r="G15" s="15" t="n"/>
      <c r="H15" s="15" t="n"/>
      <c r="I15" s="13" t="n"/>
      <c r="J15" s="13" t="n"/>
      <c r="K15" s="11" t="n"/>
      <c r="M15" s="25" t="inlineStr">
        <is>
          <t>Advanced Math</t>
        </is>
      </c>
      <c r="N15" s="13" t="n"/>
      <c r="O15" s="13" t="n"/>
      <c r="P15" s="26">
        <f>IF(N15&gt;0, O15/N15, 1.0)</f>
        <v/>
      </c>
      <c r="Q15" s="27">
        <f>COUNTIFS('Error Log'!$F$2:$F$500, M15)</f>
        <v/>
      </c>
      <c r="R15" s="28">
        <f>IF(P15&gt;=0.9, "Mastered", IF(P15&gt;=0.8, "Strong", IF(P15&gt;=0.7, "Developing", "Weak")))</f>
        <v/>
      </c>
      <c r="S15" s="21">
        <f>P15+ROW()/100000</f>
        <v/>
      </c>
      <c r="U15" s="22">
        <f>IF(INDEX(N$14:N$21, MATCH(SMALL(S$14:S$21, 2), S$14:S$21, 0))&gt;0, INDEX(M$14:M$21, MATCH(SMALL(S$14:S$21, 2), S$14:S$21, 0)), "")</f>
        <v/>
      </c>
      <c r="V15" s="23">
        <f>IF(U15="", "", INDEX(P$14:P$21, MATCH(SMALL(S$14:S$21, 2), S$14:S$21, 0)))</f>
        <v/>
      </c>
      <c r="W15" s="22">
        <f>IF(INDEX('Config'!$K$2:$K$39, MATCH(LARGE('Config'!$L$2:$L$39, 2), 'Config'!$L$2:$L$39, 0))&gt;0, INDEX('Config'!$J$2:$J$39, MATCH(LARGE('Config'!$L$2:$L$39, 2), 'Config'!$L$2:$L$39, 0)), "")</f>
        <v/>
      </c>
      <c r="X15" s="24">
        <f>IF(W15="", "", INDEX('Config'!$K$2:$K$39, MATCH(LARGE('Config'!$L$2:$L$39, 2), 'Config'!$L$2:$L$39, 0)))</f>
        <v/>
      </c>
      <c r="Y15" s="22">
        <f>IF(INDEX('Config'!$O$2:$O$41, MATCH(LARGE('Config'!$P$2:$P$41, 2), 'Config'!$P$2:$P$41, 0))&gt;0, INDEX('Config'!$N$2:$N$41, MATCH(LARGE('Config'!$P$2:$P$41, 2), 'Config'!$P$2:$P$41, 0)), "")</f>
        <v/>
      </c>
      <c r="Z15" s="24">
        <f>IF(Y15="", "", INDEX('Config'!$O$2:$O$41, MATCH(LARGE('Config'!$P$2:$P$41, 2), 'Config'!$P$2:$P$41, 0)))</f>
        <v/>
      </c>
    </row>
    <row r="16" ht="22" customHeight="1">
      <c r="A16" s="10" t="n"/>
      <c r="B16" s="11" t="n"/>
      <c r="C16" s="12" t="n"/>
      <c r="D16" s="13" t="n"/>
      <c r="E16" s="13" t="n"/>
      <c r="F16" s="14">
        <f>IF(AND(ISNUMBER(D16), ISNUMBER(E16)), D16+E16, "")</f>
        <v/>
      </c>
      <c r="G16" s="15" t="n"/>
      <c r="H16" s="15" t="n"/>
      <c r="I16" s="13" t="n"/>
      <c r="J16" s="13" t="n"/>
      <c r="K16" s="11" t="n"/>
      <c r="M16" s="17" t="inlineStr">
        <is>
          <t>Problem Solving &amp; Data Analysis</t>
        </is>
      </c>
      <c r="N16" s="13" t="n"/>
      <c r="O16" s="13" t="n"/>
      <c r="P16" s="18">
        <f>IF(N16&gt;0, O16/N16, 1.0)</f>
        <v/>
      </c>
      <c r="Q16" s="19">
        <f>COUNTIFS('Error Log'!$F$2:$F$500, M16)</f>
        <v/>
      </c>
      <c r="R16" s="20">
        <f>IF(P16&gt;=0.9, "Mastered", IF(P16&gt;=0.8, "Strong", IF(P16&gt;=0.7, "Developing", "Weak")))</f>
        <v/>
      </c>
      <c r="S16" s="21">
        <f>P16+ROW()/100000</f>
        <v/>
      </c>
      <c r="U16" s="22">
        <f>IF(INDEX(N$14:N$21, MATCH(SMALL(S$14:S$21, 3), S$14:S$21, 0))&gt;0, INDEX(M$14:M$21, MATCH(SMALL(S$14:S$21, 3), S$14:S$21, 0)), "")</f>
        <v/>
      </c>
      <c r="V16" s="23">
        <f>IF(U16="", "", INDEX(P$14:P$21, MATCH(SMALL(S$14:S$21, 3), S$14:S$21, 0)))</f>
        <v/>
      </c>
      <c r="W16" s="22">
        <f>IF(INDEX('Config'!$K$2:$K$39, MATCH(LARGE('Config'!$L$2:$L$39, 3), 'Config'!$L$2:$L$39, 0))&gt;0, INDEX('Config'!$J$2:$J$39, MATCH(LARGE('Config'!$L$2:$L$39, 3), 'Config'!$L$2:$L$39, 0)), "")</f>
        <v/>
      </c>
      <c r="X16" s="24">
        <f>IF(W16="", "", INDEX('Config'!$K$2:$K$39, MATCH(LARGE('Config'!$L$2:$L$39, 3), 'Config'!$L$2:$L$39, 0)))</f>
        <v/>
      </c>
      <c r="Y16" s="22">
        <f>IF(INDEX('Config'!$O$2:$O$41, MATCH(LARGE('Config'!$P$2:$P$41, 3), 'Config'!$P$2:$P$41, 0))&gt;0, INDEX('Config'!$N$2:$N$41, MATCH(LARGE('Config'!$P$2:$P$41, 3), 'Config'!$P$2:$P$41, 0)), "")</f>
        <v/>
      </c>
      <c r="Z16" s="24">
        <f>IF(Y16="", "", INDEX('Config'!$O$2:$O$41, MATCH(LARGE('Config'!$P$2:$P$41, 3), 'Config'!$P$2:$P$41, 0)))</f>
        <v/>
      </c>
    </row>
    <row r="17" ht="22" customHeight="1">
      <c r="A17" s="10" t="n"/>
      <c r="B17" s="11" t="n"/>
      <c r="C17" s="12" t="n"/>
      <c r="D17" s="13" t="n"/>
      <c r="E17" s="13" t="n"/>
      <c r="F17" s="14">
        <f>IF(AND(ISNUMBER(D17), ISNUMBER(E17)), D17+E17, "")</f>
        <v/>
      </c>
      <c r="G17" s="15" t="n"/>
      <c r="H17" s="15" t="n"/>
      <c r="I17" s="13" t="n"/>
      <c r="J17" s="13" t="n"/>
      <c r="K17" s="11" t="n"/>
      <c r="M17" s="25" t="inlineStr">
        <is>
          <t>Geometry &amp; Trigonometry</t>
        </is>
      </c>
      <c r="N17" s="13" t="n"/>
      <c r="O17" s="13" t="n"/>
      <c r="P17" s="26">
        <f>IF(N17&gt;0, O17/N17, 1.0)</f>
        <v/>
      </c>
      <c r="Q17" s="27">
        <f>COUNTIFS('Error Log'!$F$2:$F$500, M17)</f>
        <v/>
      </c>
      <c r="R17" s="28">
        <f>IF(P17&gt;=0.9, "Mastered", IF(P17&gt;=0.8, "Strong", IF(P17&gt;=0.7, "Developing", "Weak")))</f>
        <v/>
      </c>
      <c r="S17" s="21">
        <f>P17+ROW()/100000</f>
        <v/>
      </c>
      <c r="U17" s="22">
        <f>IF(INDEX(N$14:N$21, MATCH(SMALL(S$14:S$21, 4), S$14:S$21, 0))&gt;0, INDEX(M$14:M$21, MATCH(SMALL(S$14:S$21, 4), S$14:S$21, 0)), "")</f>
        <v/>
      </c>
      <c r="V17" s="23">
        <f>IF(U17="", "", INDEX(P$14:P$21, MATCH(SMALL(S$14:S$21, 4), S$14:S$21, 0)))</f>
        <v/>
      </c>
      <c r="W17" s="22">
        <f>IF(INDEX('Config'!$K$2:$K$39, MATCH(LARGE('Config'!$L$2:$L$39, 4), 'Config'!$L$2:$L$39, 0))&gt;0, INDEX('Config'!$J$2:$J$39, MATCH(LARGE('Config'!$L$2:$L$39, 4), 'Config'!$L$2:$L$39, 0)), "")</f>
        <v/>
      </c>
      <c r="X17" s="24">
        <f>IF(W17="", "", INDEX('Config'!$K$2:$K$39, MATCH(LARGE('Config'!$L$2:$L$39, 4), 'Config'!$L$2:$L$39, 0)))</f>
        <v/>
      </c>
      <c r="Y17" s="22">
        <f>IF(INDEX('Config'!$O$2:$O$41, MATCH(LARGE('Config'!$P$2:$P$41, 4), 'Config'!$P$2:$P$41, 0))&gt;0, INDEX('Config'!$N$2:$N$41, MATCH(LARGE('Config'!$P$2:$P$41, 4), 'Config'!$P$2:$P$41, 0)), "")</f>
        <v/>
      </c>
      <c r="Z17" s="24">
        <f>IF(Y17="", "", INDEX('Config'!$O$2:$O$41, MATCH(LARGE('Config'!$P$2:$P$41, 4), 'Config'!$P$2:$P$41, 0)))</f>
        <v/>
      </c>
    </row>
    <row r="18" ht="22" customHeight="1">
      <c r="A18" s="10" t="n"/>
      <c r="B18" s="11" t="n"/>
      <c r="C18" s="12" t="n"/>
      <c r="D18" s="13" t="n"/>
      <c r="E18" s="13" t="n"/>
      <c r="F18" s="14">
        <f>IF(AND(ISNUMBER(D18), ISNUMBER(E18)), D18+E18, "")</f>
        <v/>
      </c>
      <c r="G18" s="15" t="n"/>
      <c r="H18" s="15" t="n"/>
      <c r="I18" s="13" t="n"/>
      <c r="J18" s="13" t="n"/>
      <c r="K18" s="11" t="n"/>
      <c r="M18" s="17" t="inlineStr">
        <is>
          <t>Information &amp; Ideas</t>
        </is>
      </c>
      <c r="N18" s="13" t="n"/>
      <c r="O18" s="13" t="n"/>
      <c r="P18" s="18">
        <f>IF(N18&gt;0, O18/N18, 1.0)</f>
        <v/>
      </c>
      <c r="Q18" s="19">
        <f>COUNTIFS('Error Log'!$F$2:$F$500, M18)</f>
        <v/>
      </c>
      <c r="R18" s="20">
        <f>IF(P18&gt;=0.9, "Mastered", IF(P18&gt;=0.8, "Strong", IF(P18&gt;=0.7, "Developing", "Weak")))</f>
        <v/>
      </c>
      <c r="S18" s="21">
        <f>P18+ROW()/100000</f>
        <v/>
      </c>
      <c r="U18" s="22">
        <f>IF(INDEX(N$14:N$21, MATCH(SMALL(S$14:S$21, 5), S$14:S$21, 0))&gt;0, INDEX(M$14:M$21, MATCH(SMALL(S$14:S$21, 5), S$14:S$21, 0)), "")</f>
        <v/>
      </c>
      <c r="V18" s="23">
        <f>IF(U18="", "", INDEX(P$14:P$21, MATCH(SMALL(S$14:S$21, 5), S$14:S$21, 0)))</f>
        <v/>
      </c>
      <c r="W18" s="22">
        <f>IF(INDEX('Config'!$K$2:$K$39, MATCH(LARGE('Config'!$L$2:$L$39, 5), 'Config'!$L$2:$L$39, 0))&gt;0, INDEX('Config'!$J$2:$J$39, MATCH(LARGE('Config'!$L$2:$L$39, 5), 'Config'!$L$2:$L$39, 0)), "")</f>
        <v/>
      </c>
      <c r="X18" s="24">
        <f>IF(W18="", "", INDEX('Config'!$K$2:$K$39, MATCH(LARGE('Config'!$L$2:$L$39, 5), 'Config'!$L$2:$L$39, 0)))</f>
        <v/>
      </c>
      <c r="Y18" s="22">
        <f>IF(INDEX('Config'!$O$2:$O$41, MATCH(LARGE('Config'!$P$2:$P$41, 5), 'Config'!$P$2:$P$41, 0))&gt;0, INDEX('Config'!$N$2:$N$41, MATCH(LARGE('Config'!$P$2:$P$41, 5), 'Config'!$P$2:$P$41, 0)), "")</f>
        <v/>
      </c>
      <c r="Z18" s="24">
        <f>IF(Y18="", "", INDEX('Config'!$O$2:$O$41, MATCH(LARGE('Config'!$P$2:$P$41, 5), 'Config'!$P$2:$P$41, 0)))</f>
        <v/>
      </c>
    </row>
    <row r="19" ht="22" customHeight="1">
      <c r="A19" s="10" t="n"/>
      <c r="B19" s="11" t="n"/>
      <c r="C19" s="12" t="n"/>
      <c r="D19" s="13" t="n"/>
      <c r="E19" s="13" t="n"/>
      <c r="F19" s="14">
        <f>IF(AND(ISNUMBER(D19), ISNUMBER(E19)), D19+E19, "")</f>
        <v/>
      </c>
      <c r="G19" s="15" t="n"/>
      <c r="H19" s="15" t="n"/>
      <c r="I19" s="13" t="n"/>
      <c r="J19" s="13" t="n"/>
      <c r="K19" s="11" t="n"/>
      <c r="M19" s="25" t="inlineStr">
        <is>
          <t>Craft &amp; Structure</t>
        </is>
      </c>
      <c r="N19" s="13" t="n"/>
      <c r="O19" s="13" t="n"/>
      <c r="P19" s="26">
        <f>IF(N19&gt;0, O19/N19, 1.0)</f>
        <v/>
      </c>
      <c r="Q19" s="27">
        <f>COUNTIFS('Error Log'!$F$2:$F$500, M19)</f>
        <v/>
      </c>
      <c r="R19" s="28">
        <f>IF(P19&gt;=0.9, "Mastered", IF(P19&gt;=0.8, "Strong", IF(P19&gt;=0.7, "Developing", "Weak")))</f>
        <v/>
      </c>
      <c r="S19" s="21">
        <f>P19+ROW()/100000</f>
        <v/>
      </c>
    </row>
    <row r="20" ht="22" customHeight="1">
      <c r="A20" s="10" t="n"/>
      <c r="B20" s="11" t="n"/>
      <c r="C20" s="12" t="n"/>
      <c r="D20" s="13" t="n"/>
      <c r="E20" s="13" t="n"/>
      <c r="F20" s="14">
        <f>IF(AND(ISNUMBER(D20), ISNUMBER(E20)), D20+E20, "")</f>
        <v/>
      </c>
      <c r="G20" s="15" t="n"/>
      <c r="H20" s="15" t="n"/>
      <c r="I20" s="13" t="n"/>
      <c r="J20" s="13" t="n"/>
      <c r="K20" s="11" t="n"/>
      <c r="M20" s="17" t="inlineStr">
        <is>
          <t>Expression of Ideas</t>
        </is>
      </c>
      <c r="N20" s="13" t="n"/>
      <c r="O20" s="13" t="n"/>
      <c r="P20" s="18">
        <f>IF(N20&gt;0, O20/N20, 1.0)</f>
        <v/>
      </c>
      <c r="Q20" s="19">
        <f>COUNTIFS('Error Log'!$F$2:$F$500, M20)</f>
        <v/>
      </c>
      <c r="R20" s="20">
        <f>IF(P20&gt;=0.9, "Mastered", IF(P20&gt;=0.8, "Strong", IF(P20&gt;=0.7, "Developing", "Weak")))</f>
        <v/>
      </c>
      <c r="S20" s="21">
        <f>P20+ROW()/100000</f>
        <v/>
      </c>
    </row>
    <row r="21" ht="22" customHeight="1">
      <c r="A21" s="10" t="n"/>
      <c r="B21" s="11" t="n"/>
      <c r="C21" s="12" t="n"/>
      <c r="D21" s="13" t="n"/>
      <c r="E21" s="13" t="n"/>
      <c r="F21" s="14">
        <f>IF(AND(ISNUMBER(D21), ISNUMBER(E21)), D21+E21, "")</f>
        <v/>
      </c>
      <c r="G21" s="15" t="n"/>
      <c r="H21" s="15" t="n"/>
      <c r="I21" s="13" t="n"/>
      <c r="J21" s="13" t="n"/>
      <c r="K21" s="11" t="n"/>
      <c r="M21" s="25" t="inlineStr">
        <is>
          <t>Standard English Conventions</t>
        </is>
      </c>
      <c r="N21" s="13" t="n"/>
      <c r="O21" s="13" t="n"/>
      <c r="P21" s="26">
        <f>IF(N21&gt;0, O21/N21, 1.0)</f>
        <v/>
      </c>
      <c r="Q21" s="27">
        <f>COUNTIFS('Error Log'!$F$2:$F$500, M21)</f>
        <v/>
      </c>
      <c r="R21" s="28">
        <f>IF(P21&gt;=0.9, "Mastered", IF(P21&gt;=0.8, "Strong", IF(P21&gt;=0.7, "Developing", "Weak")))</f>
        <v/>
      </c>
      <c r="S21" s="21">
        <f>P21+ROW()/100000</f>
        <v/>
      </c>
    </row>
    <row r="22" ht="22" customHeight="1">
      <c r="A22" s="10" t="n"/>
      <c r="B22" s="11" t="n"/>
      <c r="C22" s="12" t="n"/>
      <c r="D22" s="13" t="n"/>
      <c r="E22" s="13" t="n"/>
      <c r="F22" s="14">
        <f>IF(AND(ISNUMBER(D22), ISNUMBER(E22)), D22+E22, "")</f>
        <v/>
      </c>
      <c r="G22" s="15" t="n"/>
      <c r="H22" s="15" t="n"/>
      <c r="I22" s="13" t="n"/>
      <c r="J22" s="13" t="n"/>
      <c r="K22" s="11" t="n"/>
    </row>
    <row r="23" ht="22" customHeight="1">
      <c r="A23" s="10" t="n"/>
      <c r="B23" s="11" t="n"/>
      <c r="C23" s="12" t="n"/>
      <c r="D23" s="13" t="n"/>
      <c r="E23" s="13" t="n"/>
      <c r="F23" s="14">
        <f>IF(AND(ISNUMBER(D23), ISNUMBER(E23)), D23+E23, "")</f>
        <v/>
      </c>
      <c r="G23" s="15" t="n"/>
      <c r="H23" s="15" t="n"/>
      <c r="I23" s="13" t="n"/>
      <c r="J23" s="13" t="n"/>
      <c r="K23" s="11" t="n"/>
    </row>
    <row r="24" ht="22" customHeight="1">
      <c r="A24" s="10" t="n"/>
      <c r="B24" s="11" t="n"/>
      <c r="C24" s="12" t="n"/>
      <c r="D24" s="13" t="n"/>
      <c r="E24" s="13" t="n"/>
      <c r="F24" s="14">
        <f>IF(AND(ISNUMBER(D24), ISNUMBER(E24)), D24+E24, "")</f>
        <v/>
      </c>
      <c r="G24" s="15" t="n"/>
      <c r="H24" s="15" t="n"/>
      <c r="I24" s="13" t="n"/>
      <c r="J24" s="13" t="n"/>
      <c r="K24" s="11" t="n"/>
    </row>
    <row r="25" ht="22" customHeight="1">
      <c r="A25" s="10" t="n"/>
      <c r="B25" s="11" t="n"/>
      <c r="C25" s="12" t="n"/>
      <c r="D25" s="13" t="n"/>
      <c r="E25" s="13" t="n"/>
      <c r="F25" s="14">
        <f>IF(AND(ISNUMBER(D25), ISNUMBER(E25)), D25+E25, "")</f>
        <v/>
      </c>
      <c r="G25" s="15" t="n"/>
      <c r="H25" s="15" t="n"/>
      <c r="I25" s="13" t="n"/>
      <c r="J25" s="13" t="n"/>
      <c r="K25" s="11" t="n"/>
    </row>
    <row r="26" ht="22" customHeight="1">
      <c r="A26" s="10" t="n"/>
      <c r="B26" s="11" t="n"/>
      <c r="C26" s="12" t="n"/>
      <c r="D26" s="13" t="n"/>
      <c r="E26" s="13" t="n"/>
      <c r="F26" s="14">
        <f>IF(AND(ISNUMBER(D26), ISNUMBER(E26)), D26+E26, "")</f>
        <v/>
      </c>
      <c r="G26" s="15" t="n"/>
      <c r="H26" s="15" t="n"/>
      <c r="I26" s="13" t="n"/>
      <c r="J26" s="13" t="n"/>
      <c r="K26" s="11" t="n"/>
    </row>
    <row r="27" ht="22" customHeight="1">
      <c r="A27" s="10" t="n"/>
      <c r="B27" s="11" t="n"/>
      <c r="C27" s="12" t="n"/>
      <c r="D27" s="13" t="n"/>
      <c r="E27" s="13" t="n"/>
      <c r="F27" s="14">
        <f>IF(AND(ISNUMBER(D27), ISNUMBER(E27)), D27+E27, "")</f>
        <v/>
      </c>
      <c r="G27" s="15" t="n"/>
      <c r="H27" s="15" t="n"/>
      <c r="I27" s="13" t="n"/>
      <c r="J27" s="13" t="n"/>
      <c r="K27" s="11" t="n"/>
    </row>
    <row r="28" ht="22" customHeight="1">
      <c r="A28" s="10" t="n"/>
      <c r="B28" s="11" t="n"/>
      <c r="C28" s="12" t="n"/>
      <c r="D28" s="13" t="n"/>
      <c r="E28" s="13" t="n"/>
      <c r="F28" s="14">
        <f>IF(AND(ISNUMBER(D28), ISNUMBER(E28)), D28+E28, "")</f>
        <v/>
      </c>
      <c r="G28" s="15" t="n"/>
      <c r="H28" s="15" t="n"/>
      <c r="I28" s="13" t="n"/>
      <c r="J28" s="13" t="n"/>
      <c r="K28" s="11" t="n"/>
    </row>
    <row r="29" ht="22" customHeight="1">
      <c r="A29" s="10" t="n"/>
      <c r="B29" s="11" t="n"/>
      <c r="C29" s="12" t="n"/>
      <c r="D29" s="13" t="n"/>
      <c r="E29" s="13" t="n"/>
      <c r="F29" s="14">
        <f>IF(AND(ISNUMBER(D29), ISNUMBER(E29)), D29+E29, "")</f>
        <v/>
      </c>
      <c r="G29" s="15" t="n"/>
      <c r="H29" s="15" t="n"/>
      <c r="I29" s="13" t="n"/>
      <c r="J29" s="13" t="n"/>
      <c r="K29" s="11" t="n"/>
    </row>
    <row r="30" ht="22" customHeight="1">
      <c r="A30" s="10" t="n"/>
      <c r="B30" s="11" t="n"/>
      <c r="C30" s="12" t="n"/>
      <c r="D30" s="13" t="n"/>
      <c r="E30" s="13" t="n"/>
      <c r="F30" s="14">
        <f>IF(AND(ISNUMBER(D30), ISNUMBER(E30)), D30+E30, "")</f>
        <v/>
      </c>
      <c r="G30" s="15" t="n"/>
      <c r="H30" s="15" t="n"/>
      <c r="I30" s="13" t="n"/>
      <c r="J30" s="13" t="n"/>
      <c r="K30" s="11" t="n"/>
    </row>
    <row r="31" ht="22" customHeight="1">
      <c r="A31" s="10" t="n"/>
      <c r="B31" s="11" t="n"/>
      <c r="C31" s="12" t="n"/>
      <c r="D31" s="13" t="n"/>
      <c r="E31" s="13" t="n"/>
      <c r="F31" s="14">
        <f>IF(AND(ISNUMBER(D31), ISNUMBER(E31)), D31+E31, "")</f>
        <v/>
      </c>
      <c r="G31" s="15" t="n"/>
      <c r="H31" s="15" t="n"/>
      <c r="I31" s="13" t="n"/>
      <c r="J31" s="13" t="n"/>
      <c r="K31" s="11" t="n"/>
    </row>
    <row r="32" ht="22" customHeight="1">
      <c r="A32" s="10" t="n"/>
      <c r="B32" s="11" t="n"/>
      <c r="C32" s="12" t="n"/>
      <c r="D32" s="13" t="n"/>
      <c r="E32" s="13" t="n"/>
      <c r="F32" s="14">
        <f>IF(AND(ISNUMBER(D32), ISNUMBER(E32)), D32+E32, "")</f>
        <v/>
      </c>
      <c r="G32" s="15" t="n"/>
      <c r="H32" s="15" t="n"/>
      <c r="I32" s="13" t="n"/>
      <c r="J32" s="13" t="n"/>
      <c r="K32" s="11" t="n"/>
    </row>
    <row r="33" ht="22" customHeight="1">
      <c r="A33" s="10" t="n"/>
      <c r="B33" s="11" t="n"/>
      <c r="C33" s="12" t="n"/>
      <c r="D33" s="13" t="n"/>
      <c r="E33" s="13" t="n"/>
      <c r="F33" s="14">
        <f>IF(AND(ISNUMBER(D33), ISNUMBER(E33)), D33+E33, "")</f>
        <v/>
      </c>
      <c r="G33" s="15" t="n"/>
      <c r="H33" s="15" t="n"/>
      <c r="I33" s="13" t="n"/>
      <c r="J33" s="13" t="n"/>
      <c r="K33" s="11" t="n"/>
    </row>
    <row r="34" ht="22" customHeight="1">
      <c r="A34" s="10" t="n"/>
      <c r="B34" s="11" t="n"/>
      <c r="C34" s="12" t="n"/>
      <c r="D34" s="13" t="n"/>
      <c r="E34" s="13" t="n"/>
      <c r="F34" s="14">
        <f>IF(AND(ISNUMBER(D34), ISNUMBER(E34)), D34+E34, "")</f>
        <v/>
      </c>
      <c r="G34" s="15" t="n"/>
      <c r="H34" s="15" t="n"/>
      <c r="I34" s="13" t="n"/>
      <c r="J34" s="13" t="n"/>
      <c r="K34" s="11" t="n"/>
    </row>
    <row r="35" ht="22" customHeight="1">
      <c r="A35" s="10" t="n"/>
      <c r="B35" s="11" t="n"/>
      <c r="C35" s="12" t="n"/>
      <c r="D35" s="13" t="n"/>
      <c r="E35" s="13" t="n"/>
      <c r="F35" s="14">
        <f>IF(AND(ISNUMBER(D35), ISNUMBER(E35)), D35+E35, "")</f>
        <v/>
      </c>
      <c r="G35" s="15" t="n"/>
      <c r="H35" s="15" t="n"/>
      <c r="I35" s="13" t="n"/>
      <c r="J35" s="13" t="n"/>
      <c r="K35" s="11" t="n"/>
    </row>
    <row r="37">
      <c r="A37" s="8" t="inlineStr">
        <is>
          <t>PERSONALIZED STUDY ACTION PLAN</t>
        </is>
      </c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39" t="n"/>
    </row>
    <row r="38" ht="26" customHeight="1">
      <c r="A38" s="7" t="inlineStr">
        <is>
          <t>Date Identified</t>
        </is>
      </c>
      <c r="B38" s="7" t="inlineStr">
        <is>
          <t>Weakness / Focus Topic</t>
        </is>
      </c>
      <c r="C38" s="7" t="inlineStr">
        <is>
          <t>Evidence (Test &amp; Q#)</t>
        </is>
      </c>
      <c r="D38" s="7" t="inlineStr">
        <is>
          <t>Specific Action Required</t>
        </is>
      </c>
      <c r="E38" s="7" t="inlineStr">
        <is>
          <t>Target Deadline</t>
        </is>
      </c>
      <c r="F38" s="7" t="inlineStr">
        <is>
          <t>Status</t>
        </is>
      </c>
    </row>
    <row r="39" ht="22" customHeight="1">
      <c r="A39" s="29" t="n"/>
      <c r="B39" s="11" t="n"/>
      <c r="C39" s="11" t="n"/>
      <c r="D39" s="11" t="n"/>
      <c r="E39" s="29" t="n"/>
      <c r="F39" s="12" t="n"/>
    </row>
    <row r="40" ht="22" customHeight="1">
      <c r="A40" s="29" t="n"/>
      <c r="B40" s="11" t="n"/>
      <c r="C40" s="11" t="n"/>
      <c r="D40" s="11" t="n"/>
      <c r="E40" s="29" t="n"/>
      <c r="F40" s="12" t="n"/>
    </row>
    <row r="41" ht="22" customHeight="1">
      <c r="A41" s="29" t="n"/>
      <c r="B41" s="11" t="n"/>
      <c r="C41" s="11" t="n"/>
      <c r="D41" s="11" t="n"/>
      <c r="E41" s="29" t="n"/>
      <c r="F41" s="12" t="n"/>
    </row>
    <row r="42" ht="22" customHeight="1">
      <c r="A42" s="29" t="n"/>
      <c r="B42" s="11" t="n"/>
      <c r="C42" s="11" t="n"/>
      <c r="D42" s="11" t="n"/>
      <c r="E42" s="29" t="n"/>
      <c r="F42" s="12" t="n"/>
    </row>
    <row r="43" ht="22" customHeight="1">
      <c r="A43" s="29" t="n"/>
      <c r="B43" s="11" t="n"/>
      <c r="C43" s="11" t="n"/>
      <c r="D43" s="11" t="n"/>
      <c r="E43" s="29" t="n"/>
      <c r="F43" s="12" t="n"/>
    </row>
    <row r="44" ht="22" customHeight="1">
      <c r="A44" s="29" t="n"/>
      <c r="B44" s="11" t="n"/>
      <c r="C44" s="11" t="n"/>
      <c r="D44" s="11" t="n"/>
      <c r="E44" s="29" t="n"/>
      <c r="F44" s="12" t="n"/>
    </row>
    <row r="45" ht="22" customHeight="1">
      <c r="A45" s="29" t="n"/>
      <c r="B45" s="11" t="n"/>
      <c r="C45" s="11" t="n"/>
      <c r="D45" s="11" t="n"/>
      <c r="E45" s="29" t="n"/>
      <c r="F45" s="12" t="n"/>
    </row>
    <row r="46" ht="22" customHeight="1">
      <c r="A46" s="29" t="n"/>
      <c r="B46" s="11" t="n"/>
      <c r="C46" s="11" t="n"/>
      <c r="D46" s="11" t="n"/>
      <c r="E46" s="29" t="n"/>
      <c r="F46" s="12" t="n"/>
    </row>
    <row r="47" ht="22" customHeight="1">
      <c r="A47" s="29" t="n"/>
      <c r="B47" s="11" t="n"/>
      <c r="C47" s="11" t="n"/>
      <c r="D47" s="11" t="n"/>
      <c r="E47" s="29" t="n"/>
      <c r="F47" s="12" t="n"/>
    </row>
    <row r="48" ht="22" customHeight="1">
      <c r="A48" s="29" t="n"/>
      <c r="B48" s="11" t="n"/>
      <c r="C48" s="11" t="n"/>
      <c r="D48" s="11" t="n"/>
      <c r="E48" s="29" t="n"/>
      <c r="F48" s="12" t="n"/>
    </row>
    <row r="49" ht="22" customHeight="1">
      <c r="A49" s="29" t="n"/>
      <c r="B49" s="11" t="n"/>
      <c r="C49" s="11" t="n"/>
      <c r="D49" s="11" t="n"/>
      <c r="E49" s="29" t="n"/>
      <c r="F49" s="12" t="n"/>
    </row>
    <row r="50" ht="22" customHeight="1">
      <c r="A50" s="29" t="n"/>
      <c r="B50" s="11" t="n"/>
      <c r="C50" s="11" t="n"/>
      <c r="D50" s="11" t="n"/>
      <c r="E50" s="29" t="n"/>
      <c r="F50" s="12" t="n"/>
    </row>
  </sheetData>
  <mergeCells count="12">
    <mergeCell ref="U12:Z12"/>
    <mergeCell ref="C6:D6"/>
    <mergeCell ref="A37:K37"/>
    <mergeCell ref="J5:K5"/>
    <mergeCell ref="J6:K6"/>
    <mergeCell ref="A3:K4"/>
    <mergeCell ref="F5:G5"/>
    <mergeCell ref="C5:D5"/>
    <mergeCell ref="A5:B5"/>
    <mergeCell ref="F6:G6"/>
    <mergeCell ref="A6:B6"/>
    <mergeCell ref="M12:R12"/>
  </mergeCells>
  <conditionalFormatting sqref="R14:R21">
    <cfRule type="cellIs" priority="1" operator="equal" dxfId="0" stopIfTrue="1">
      <formula>"Mastered"</formula>
    </cfRule>
    <cfRule type="cellIs" priority="2" operator="equal" dxfId="1" stopIfTrue="1">
      <formula>"Strong"</formula>
    </cfRule>
    <cfRule type="cellIs" priority="3" operator="equal" dxfId="2" stopIfTrue="1">
      <formula>"Developing"</formula>
    </cfRule>
    <cfRule type="cellIs" priority="4" operator="equal" dxfId="3" stopIfTrue="1">
      <formula>"Weak"</formula>
    </cfRule>
  </conditionalFormatting>
  <conditionalFormatting sqref="F39:F50">
    <cfRule type="cellIs" priority="5" operator="equal" dxfId="4" stopIfTrue="1">
      <formula>"Not Started"</formula>
    </cfRule>
    <cfRule type="cellIs" priority="6" operator="equal" dxfId="2" stopIfTrue="1">
      <formula>"In Progress"</formula>
    </cfRule>
    <cfRule type="cellIs" priority="7" operator="equal" dxfId="0" stopIfTrue="1">
      <formula>"Completed"</formula>
    </cfRule>
  </conditionalFormatting>
  <dataValidations count="1">
    <dataValidation sqref="F39:F50" showDropDown="0" showInputMessage="0" showErrorMessage="0" allowBlank="0" type="list">
      <formula1>'Config'!$H$2:$H$4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6" customWidth="1" min="4" max="4"/>
    <col width="40" customWidth="1" min="5" max="5"/>
    <col width="26" customWidth="1" min="6" max="6"/>
    <col width="36" customWidth="1" min="7" max="7"/>
    <col width="24" customWidth="1" min="8" max="8"/>
    <col width="24" customWidth="1" min="9" max="9"/>
    <col width="30" customWidth="1" min="10" max="10"/>
    <col width="30" customWidth="1" min="11" max="11"/>
    <col width="18" customWidth="1" min="12" max="12"/>
    <col width="24" customWidth="1" min="13" max="13"/>
    <col width="50" customWidth="1" min="14" max="14"/>
    <col hidden="1" width="10" customWidth="1" min="15" max="15"/>
  </cols>
  <sheetData>
    <row r="1" ht="26" customHeight="1">
      <c r="A1" s="7" t="inlineStr">
        <is>
          <t>Source / Site</t>
        </is>
      </c>
      <c r="B1" s="7" t="inlineStr">
        <is>
          <t>Section</t>
        </is>
      </c>
      <c r="C1" s="7" t="inlineStr">
        <is>
          <t>Correct Answer</t>
        </is>
      </c>
      <c r="D1" s="7" t="inlineStr">
        <is>
          <t>Your Answer</t>
        </is>
      </c>
      <c r="E1" s="7" t="inlineStr">
        <is>
          <t>Screenshot / Clip</t>
        </is>
      </c>
      <c r="F1" s="7" t="inlineStr">
        <is>
          <t>Topic</t>
        </is>
      </c>
      <c r="G1" s="7" t="inlineStr">
        <is>
          <t>Subtopic</t>
        </is>
      </c>
      <c r="H1" s="7" t="inlineStr">
        <is>
          <t>Question Type</t>
        </is>
      </c>
      <c r="I1" s="7" t="inlineStr">
        <is>
          <t>Error Type</t>
        </is>
      </c>
      <c r="J1" s="7" t="inlineStr">
        <is>
          <t>Root Cause</t>
        </is>
      </c>
      <c r="K1" s="7" t="inlineStr">
        <is>
          <t>Fix Strategy</t>
        </is>
      </c>
      <c r="L1" s="7" t="inlineStr">
        <is>
          <t>Time Taken (Sec)</t>
        </is>
      </c>
      <c r="M1" s="7" t="inlineStr">
        <is>
          <t>Retest Status</t>
        </is>
      </c>
      <c r="N1" s="7" t="inlineStr">
        <is>
          <t>Notes</t>
        </is>
      </c>
    </row>
    <row r="2" ht="65" customHeight="1">
      <c r="A2" s="41" t="n"/>
      <c r="B2" s="41" t="n"/>
      <c r="C2" s="42" t="n"/>
      <c r="D2" s="42" t="n"/>
      <c r="E2" s="43" t="n"/>
      <c r="F2" s="41" t="n"/>
      <c r="G2" s="41" t="n"/>
      <c r="H2" s="41" t="n"/>
      <c r="I2" s="41" t="n"/>
      <c r="J2" s="41" t="n"/>
      <c r="K2" s="41" t="n"/>
      <c r="L2" s="42" t="n"/>
      <c r="M2" s="42" t="n"/>
      <c r="N2" s="41" t="n"/>
      <c r="O2" s="31" t="n"/>
    </row>
    <row r="3" ht="65" customHeight="1">
      <c r="A3" s="41" t="n"/>
      <c r="B3" s="41" t="n"/>
      <c r="C3" s="42" t="n"/>
      <c r="D3" s="42" t="n"/>
      <c r="E3" s="43" t="n"/>
      <c r="F3" s="41" t="n"/>
      <c r="G3" s="41" t="n"/>
      <c r="H3" s="41" t="n"/>
      <c r="I3" s="41" t="n"/>
      <c r="J3" s="41" t="n"/>
      <c r="K3" s="41" t="n"/>
      <c r="L3" s="42" t="n"/>
      <c r="M3" s="42" t="n"/>
      <c r="N3" s="41" t="n"/>
      <c r="O3" s="31" t="n"/>
    </row>
    <row r="4" ht="65" customHeight="1">
      <c r="A4" s="30" t="n"/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  <c r="N4" s="30" t="n"/>
      <c r="O4" s="31" t="n"/>
    </row>
    <row r="5" ht="65" customHeight="1">
      <c r="A5" s="30" t="n"/>
      <c r="B5" s="30" t="n"/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1" t="n"/>
    </row>
    <row r="6" ht="65" customHeight="1">
      <c r="A6" s="30" t="n"/>
      <c r="B6" s="30" t="n"/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1">
        <f>IF(A6="", "", IFERROR(INDEX(Dashboard!$A$13:$A$35, MATCH(A6, Dashboard!$B$13:$B$35, 0)), ""))</f>
        <v/>
      </c>
    </row>
    <row r="7" ht="65" customHeight="1">
      <c r="A7" s="30" t="n"/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1">
        <f>IF(A7="", "", IFERROR(INDEX(Dashboard!$A$13:$A$35, MATCH(A7, Dashboard!$B$13:$B$35, 0)), ""))</f>
        <v/>
      </c>
    </row>
    <row r="8" ht="65" customHeight="1">
      <c r="A8" s="30" t="n"/>
      <c r="B8" s="30" t="n"/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1">
        <f>IF(A8="", "", IFERROR(INDEX(Dashboard!$A$13:$A$35, MATCH(A8, Dashboard!$B$13:$B$35, 0)), ""))</f>
        <v/>
      </c>
    </row>
    <row r="9" ht="65" customHeight="1">
      <c r="A9" s="30" t="n"/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1">
        <f>IF(A9="", "", IFERROR(INDEX(Dashboard!$A$13:$A$35, MATCH(A9, Dashboard!$B$13:$B$35, 0)), ""))</f>
        <v/>
      </c>
    </row>
    <row r="10" ht="65" customHeight="1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1">
        <f>IF(A10="", "", IFERROR(INDEX(Dashboard!$A$13:$A$35, MATCH(A10, Dashboard!$B$13:$B$35, 0)), ""))</f>
        <v/>
      </c>
    </row>
    <row r="11" ht="65" customHeight="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>
        <f>IF(A11="", "", IFERROR(INDEX(Dashboard!$A$13:$A$35, MATCH(A11, Dashboard!$B$13:$B$35, 0)), ""))</f>
        <v/>
      </c>
    </row>
    <row r="12" ht="65" customHeight="1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1">
        <f>IF(A12="", "", IFERROR(INDEX(Dashboard!$A$13:$A$35, MATCH(A12, Dashboard!$B$13:$B$35, 0)), ""))</f>
        <v/>
      </c>
    </row>
    <row r="13" ht="65" customHeight="1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1">
        <f>IF(A13="", "", IFERROR(INDEX(Dashboard!$A$13:$A$35, MATCH(A13, Dashboard!$B$13:$B$35, 0)), ""))</f>
        <v/>
      </c>
    </row>
    <row r="14" ht="65" customHeight="1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1">
        <f>IF(A14="", "", IFERROR(INDEX(Dashboard!$A$13:$A$35, MATCH(A14, Dashboard!$B$13:$B$35, 0)), ""))</f>
        <v/>
      </c>
    </row>
    <row r="15" ht="65" customHeight="1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1">
        <f>IF(A15="", "", IFERROR(INDEX(Dashboard!$A$13:$A$35, MATCH(A15, Dashboard!$B$13:$B$35, 0)), ""))</f>
        <v/>
      </c>
    </row>
    <row r="16" ht="65" customHeight="1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1">
        <f>IF(A16="", "", IFERROR(INDEX(Dashboard!$A$13:$A$35, MATCH(A16, Dashboard!$B$13:$B$35, 0)), ""))</f>
        <v/>
      </c>
    </row>
    <row r="17" ht="65" customHeight="1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1">
        <f>IF(A17="", "", IFERROR(INDEX(Dashboard!$A$13:$A$35, MATCH(A17, Dashboard!$B$13:$B$35, 0)), ""))</f>
        <v/>
      </c>
    </row>
    <row r="18" ht="65" customHeight="1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1">
        <f>IF(A18="", "", IFERROR(INDEX(Dashboard!$A$13:$A$35, MATCH(A18, Dashboard!$B$13:$B$35, 0)), ""))</f>
        <v/>
      </c>
    </row>
    <row r="19" ht="65" customHeight="1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1">
        <f>IF(A19="", "", IFERROR(INDEX(Dashboard!$A$13:$A$35, MATCH(A19, Dashboard!$B$13:$B$35, 0)), ""))</f>
        <v/>
      </c>
    </row>
    <row r="20" ht="65" customHeight="1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1">
        <f>IF(A20="", "", IFERROR(INDEX(Dashboard!$A$13:$A$35, MATCH(A20, Dashboard!$B$13:$B$35, 0)), ""))</f>
        <v/>
      </c>
    </row>
    <row r="21" ht="65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1">
        <f>IF(A21="", "", IFERROR(INDEX(Dashboard!$A$13:$A$35, MATCH(A21, Dashboard!$B$13:$B$35, 0)), ""))</f>
        <v/>
      </c>
    </row>
    <row r="22" ht="65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1">
        <f>IF(A22="", "", IFERROR(INDEX(Dashboard!$A$13:$A$35, MATCH(A22, Dashboard!$B$13:$B$35, 0)), ""))</f>
        <v/>
      </c>
    </row>
    <row r="23" ht="65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1">
        <f>IF(A23="", "", IFERROR(INDEX(Dashboard!$A$13:$A$35, MATCH(A23, Dashboard!$B$13:$B$35, 0)), ""))</f>
        <v/>
      </c>
    </row>
    <row r="24" ht="65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1">
        <f>IF(A24="", "", IFERROR(INDEX(Dashboard!$A$13:$A$35, MATCH(A24, Dashboard!$B$13:$B$35, 0)), ""))</f>
        <v/>
      </c>
    </row>
    <row r="25" ht="65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1">
        <f>IF(A25="", "", IFERROR(INDEX(Dashboard!$A$13:$A$35, MATCH(A25, Dashboard!$B$13:$B$35, 0)), ""))</f>
        <v/>
      </c>
    </row>
    <row r="26" ht="65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1">
        <f>IF(A26="", "", IFERROR(INDEX(Dashboard!$A$13:$A$35, MATCH(A26, Dashboard!$B$13:$B$35, 0)), ""))</f>
        <v/>
      </c>
    </row>
    <row r="27" ht="65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1">
        <f>IF(A27="", "", IFERROR(INDEX(Dashboard!$A$13:$A$35, MATCH(A27, Dashboard!$B$13:$B$35, 0)), ""))</f>
        <v/>
      </c>
    </row>
    <row r="28" ht="65" customHeight="1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1">
        <f>IF(A28="", "", IFERROR(INDEX(Dashboard!$A$13:$A$35, MATCH(A28, Dashboard!$B$13:$B$35, 0)), ""))</f>
        <v/>
      </c>
    </row>
    <row r="29" ht="65" customHeight="1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1">
        <f>IF(A29="", "", IFERROR(INDEX(Dashboard!$A$13:$A$35, MATCH(A29, Dashboard!$B$13:$B$35, 0)), ""))</f>
        <v/>
      </c>
    </row>
    <row r="30" ht="65" customHeight="1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1">
        <f>IF(A30="", "", IFERROR(INDEX(Dashboard!$A$13:$A$35, MATCH(A30, Dashboard!$B$13:$B$35, 0)), ""))</f>
        <v/>
      </c>
    </row>
    <row r="31" ht="65" customHeight="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1">
        <f>IF(A31="", "", IFERROR(INDEX(Dashboard!$A$13:$A$35, MATCH(A31, Dashboard!$B$13:$B$35, 0)), ""))</f>
        <v/>
      </c>
    </row>
    <row r="32" ht="65" customHeight="1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1">
        <f>IF(A32="", "", IFERROR(INDEX(Dashboard!$A$13:$A$35, MATCH(A32, Dashboard!$B$13:$B$35, 0)), ""))</f>
        <v/>
      </c>
    </row>
    <row r="33" ht="65" customHeight="1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1">
        <f>IF(A33="", "", IFERROR(INDEX(Dashboard!$A$13:$A$35, MATCH(A33, Dashboard!$B$13:$B$35, 0)), ""))</f>
        <v/>
      </c>
    </row>
    <row r="34" ht="65" customHeight="1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1">
        <f>IF(A34="", "", IFERROR(INDEX(Dashboard!$A$13:$A$35, MATCH(A34, Dashboard!$B$13:$B$35, 0)), ""))</f>
        <v/>
      </c>
    </row>
    <row r="35" ht="65" customHeight="1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1">
        <f>IF(A35="", "", IFERROR(INDEX(Dashboard!$A$13:$A$35, MATCH(A35, Dashboard!$B$13:$B$35, 0)), ""))</f>
        <v/>
      </c>
    </row>
    <row r="36" ht="65" customHeight="1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1">
        <f>IF(A36="", "", IFERROR(INDEX(Dashboard!$A$13:$A$35, MATCH(A36, Dashboard!$B$13:$B$35, 0)), ""))</f>
        <v/>
      </c>
    </row>
    <row r="37" ht="65" customHeight="1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1">
        <f>IF(A37="", "", IFERROR(INDEX(Dashboard!$A$13:$A$35, MATCH(A37, Dashboard!$B$13:$B$35, 0)), ""))</f>
        <v/>
      </c>
    </row>
    <row r="38" ht="65" customHeight="1">
      <c r="A38" s="30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1">
        <f>IF(A38="", "", IFERROR(INDEX(Dashboard!$A$13:$A$35, MATCH(A38, Dashboard!$B$13:$B$35, 0)), ""))</f>
        <v/>
      </c>
    </row>
    <row r="39" ht="65" customHeight="1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1">
        <f>IF(A39="", "", IFERROR(INDEX(Dashboard!$A$13:$A$35, MATCH(A39, Dashboard!$B$13:$B$35, 0)), ""))</f>
        <v/>
      </c>
    </row>
    <row r="40" ht="65" customHeight="1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1">
        <f>IF(A40="", "", IFERROR(INDEX(Dashboard!$A$13:$A$35, MATCH(A40, Dashboard!$B$13:$B$35, 0)), ""))</f>
        <v/>
      </c>
    </row>
    <row r="41" ht="65" customHeight="1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1">
        <f>IF(A41="", "", IFERROR(INDEX(Dashboard!$A$13:$A$35, MATCH(A41, Dashboard!$B$13:$B$35, 0)), ""))</f>
        <v/>
      </c>
    </row>
    <row r="42" ht="65" customHeight="1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1">
        <f>IF(A42="", "", IFERROR(INDEX(Dashboard!$A$13:$A$35, MATCH(A42, Dashboard!$B$13:$B$35, 0)), ""))</f>
        <v/>
      </c>
    </row>
    <row r="43" ht="65" customHeight="1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1">
        <f>IF(A43="", "", IFERROR(INDEX(Dashboard!$A$13:$A$35, MATCH(A43, Dashboard!$B$13:$B$35, 0)), ""))</f>
        <v/>
      </c>
    </row>
    <row r="44" ht="65" customHeight="1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1">
        <f>IF(A44="", "", IFERROR(INDEX(Dashboard!$A$13:$A$35, MATCH(A44, Dashboard!$B$13:$B$35, 0)), ""))</f>
        <v/>
      </c>
    </row>
    <row r="45" ht="65" customHeight="1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1">
        <f>IF(A45="", "", IFERROR(INDEX(Dashboard!$A$13:$A$35, MATCH(A45, Dashboard!$B$13:$B$35, 0)), ""))</f>
        <v/>
      </c>
    </row>
    <row r="46" ht="65" customHeight="1">
      <c r="A46" s="30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1">
        <f>IF(A46="", "", IFERROR(INDEX(Dashboard!$A$13:$A$35, MATCH(A46, Dashboard!$B$13:$B$35, 0)), ""))</f>
        <v/>
      </c>
    </row>
    <row r="47" ht="65" customHeight="1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1">
        <f>IF(A47="", "", IFERROR(INDEX(Dashboard!$A$13:$A$35, MATCH(A47, Dashboard!$B$13:$B$35, 0)), ""))</f>
        <v/>
      </c>
    </row>
    <row r="48" ht="65" customHeight="1">
      <c r="A48" s="30" t="n"/>
      <c r="B48" s="30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31">
        <f>IF(A48="", "", IFERROR(INDEX(Dashboard!$A$13:$A$35, MATCH(A48, Dashboard!$B$13:$B$35, 0)), ""))</f>
        <v/>
      </c>
    </row>
    <row r="49" ht="65" customHeight="1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1">
        <f>IF(A49="", "", IFERROR(INDEX(Dashboard!$A$13:$A$35, MATCH(A49, Dashboard!$B$13:$B$35, 0)), ""))</f>
        <v/>
      </c>
    </row>
    <row r="50" ht="65" customHeight="1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1">
        <f>IF(A50="", "", IFERROR(INDEX(Dashboard!$A$13:$A$35, MATCH(A50, Dashboard!$B$13:$B$35, 0)), ""))</f>
        <v/>
      </c>
    </row>
    <row r="51" ht="65" customHeight="1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1">
        <f>IF(A51="", "", IFERROR(INDEX(Dashboard!$A$13:$A$35, MATCH(A51, Dashboard!$B$13:$B$35, 0)), ""))</f>
        <v/>
      </c>
    </row>
    <row r="52" ht="65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1">
        <f>IF(A52="", "", IFERROR(INDEX(Dashboard!$A$13:$A$35, MATCH(A52, Dashboard!$B$13:$B$35, 0)), ""))</f>
        <v/>
      </c>
    </row>
    <row r="53" ht="65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1">
        <f>IF(A53="", "", IFERROR(INDEX(Dashboard!$A$13:$A$35, MATCH(A53, Dashboard!$B$13:$B$35, 0)), ""))</f>
        <v/>
      </c>
    </row>
    <row r="54" ht="65" customHeight="1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1">
        <f>IF(A54="", "", IFERROR(INDEX(Dashboard!$A$13:$A$35, MATCH(A54, Dashboard!$B$13:$B$35, 0)), ""))</f>
        <v/>
      </c>
    </row>
    <row r="55" ht="65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1">
        <f>IF(A55="", "", IFERROR(INDEX(Dashboard!$A$13:$A$35, MATCH(A55, Dashboard!$B$13:$B$35, 0)), ""))</f>
        <v/>
      </c>
    </row>
    <row r="56" ht="65" customHeight="1">
      <c r="A56" s="30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31">
        <f>IF(A56="", "", IFERROR(INDEX(Dashboard!$A$13:$A$35, MATCH(A56, Dashboard!$B$13:$B$35, 0)), ""))</f>
        <v/>
      </c>
    </row>
    <row r="57" ht="65" customHeight="1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1">
        <f>IF(A57="", "", IFERROR(INDEX(Dashboard!$A$13:$A$35, MATCH(A57, Dashboard!$B$13:$B$35, 0)), ""))</f>
        <v/>
      </c>
    </row>
    <row r="58" ht="65" customHeight="1">
      <c r="A58" s="30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1">
        <f>IF(A58="", "", IFERROR(INDEX(Dashboard!$A$13:$A$35, MATCH(A58, Dashboard!$B$13:$B$35, 0)), ""))</f>
        <v/>
      </c>
    </row>
    <row r="59" ht="65" customHeight="1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1">
        <f>IF(A59="", "", IFERROR(INDEX(Dashboard!$A$13:$A$35, MATCH(A59, Dashboard!$B$13:$B$35, 0)), ""))</f>
        <v/>
      </c>
    </row>
    <row r="60" ht="65" customHeight="1">
      <c r="A60" s="30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1">
        <f>IF(A60="", "", IFERROR(INDEX(Dashboard!$A$13:$A$35, MATCH(A60, Dashboard!$B$13:$B$35, 0)), ""))</f>
        <v/>
      </c>
    </row>
    <row r="61" ht="65" customHeight="1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1">
        <f>IF(A61="", "", IFERROR(INDEX(Dashboard!$A$13:$A$35, MATCH(A61, Dashboard!$B$13:$B$35, 0)), ""))</f>
        <v/>
      </c>
    </row>
    <row r="62" ht="65" customHeight="1">
      <c r="A62" s="30" t="n"/>
      <c r="B62" s="30" t="n"/>
      <c r="C62" s="30" t="n"/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1">
        <f>IF(A62="", "", IFERROR(INDEX(Dashboard!$A$13:$A$35, MATCH(A62, Dashboard!$B$13:$B$35, 0)), ""))</f>
        <v/>
      </c>
    </row>
    <row r="63" ht="65" customHeight="1">
      <c r="A63" s="30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1">
        <f>IF(A63="", "", IFERROR(INDEX(Dashboard!$A$13:$A$35, MATCH(A63, Dashboard!$B$13:$B$35, 0)), ""))</f>
        <v/>
      </c>
    </row>
    <row r="64" ht="65" customHeight="1">
      <c r="A64" s="30" t="n"/>
      <c r="B64" s="30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1">
        <f>IF(A64="", "", IFERROR(INDEX(Dashboard!$A$13:$A$35, MATCH(A64, Dashboard!$B$13:$B$35, 0)), ""))</f>
        <v/>
      </c>
    </row>
    <row r="65" ht="65" customHeight="1">
      <c r="A65" s="30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1">
        <f>IF(A65="", "", IFERROR(INDEX(Dashboard!$A$13:$A$35, MATCH(A65, Dashboard!$B$13:$B$35, 0)), ""))</f>
        <v/>
      </c>
    </row>
    <row r="66" ht="65" customHeight="1">
      <c r="A66" s="30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1">
        <f>IF(A66="", "", IFERROR(INDEX(Dashboard!$A$13:$A$35, MATCH(A66, Dashboard!$B$13:$B$35, 0)), ""))</f>
        <v/>
      </c>
    </row>
    <row r="67" ht="65" customHeight="1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1">
        <f>IF(A67="", "", IFERROR(INDEX(Dashboard!$A$13:$A$35, MATCH(A67, Dashboard!$B$13:$B$35, 0)), ""))</f>
        <v/>
      </c>
    </row>
    <row r="68" ht="65" customHeight="1">
      <c r="A68" s="30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1">
        <f>IF(A68="", "", IFERROR(INDEX(Dashboard!$A$13:$A$35, MATCH(A68, Dashboard!$B$13:$B$35, 0)), ""))</f>
        <v/>
      </c>
    </row>
    <row r="69" ht="65" customHeight="1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1">
        <f>IF(A69="", "", IFERROR(INDEX(Dashboard!$A$13:$A$35, MATCH(A69, Dashboard!$B$13:$B$35, 0)), ""))</f>
        <v/>
      </c>
    </row>
    <row r="70" ht="65" customHeight="1">
      <c r="A70" s="30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31">
        <f>IF(A70="", "", IFERROR(INDEX(Dashboard!$A$13:$A$35, MATCH(A70, Dashboard!$B$13:$B$35, 0)), ""))</f>
        <v/>
      </c>
    </row>
    <row r="71" ht="65" customHeight="1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  <c r="N71" s="30" t="n"/>
      <c r="O71" s="31">
        <f>IF(A71="", "", IFERROR(INDEX(Dashboard!$A$13:$A$35, MATCH(A71, Dashboard!$B$13:$B$35, 0)), ""))</f>
        <v/>
      </c>
    </row>
    <row r="72" ht="65" customHeight="1">
      <c r="A72" s="30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31">
        <f>IF(A72="", "", IFERROR(INDEX(Dashboard!$A$13:$A$35, MATCH(A72, Dashboard!$B$13:$B$35, 0)), ""))</f>
        <v/>
      </c>
    </row>
    <row r="73" ht="65" customHeight="1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31">
        <f>IF(A73="", "", IFERROR(INDEX(Dashboard!$A$13:$A$35, MATCH(A73, Dashboard!$B$13:$B$35, 0)), ""))</f>
        <v/>
      </c>
    </row>
    <row r="74" ht="65" customHeight="1">
      <c r="A74" s="30" t="n"/>
      <c r="B74" s="30" t="n"/>
      <c r="C74" s="30" t="n"/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1">
        <f>IF(A74="", "", IFERROR(INDEX(Dashboard!$A$13:$A$35, MATCH(A74, Dashboard!$B$13:$B$35, 0)), ""))</f>
        <v/>
      </c>
    </row>
    <row r="75" ht="65" customHeight="1">
      <c r="A75" s="30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1">
        <f>IF(A75="", "", IFERROR(INDEX(Dashboard!$A$13:$A$35, MATCH(A75, Dashboard!$B$13:$B$35, 0)), ""))</f>
        <v/>
      </c>
    </row>
    <row r="76" ht="65" customHeight="1">
      <c r="A76" s="30" t="n"/>
      <c r="B76" s="30" t="n"/>
      <c r="C76" s="30" t="n"/>
      <c r="D76" s="3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31">
        <f>IF(A76="", "", IFERROR(INDEX(Dashboard!$A$13:$A$35, MATCH(A76, Dashboard!$B$13:$B$35, 0)), ""))</f>
        <v/>
      </c>
    </row>
    <row r="77" ht="65" customHeight="1">
      <c r="A77" s="30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  <c r="N77" s="30" t="n"/>
      <c r="O77" s="31">
        <f>IF(A77="", "", IFERROR(INDEX(Dashboard!$A$13:$A$35, MATCH(A77, Dashboard!$B$13:$B$35, 0)), ""))</f>
        <v/>
      </c>
    </row>
    <row r="78" ht="65" customHeight="1">
      <c r="A78" s="30" t="n"/>
      <c r="B78" s="30" t="n"/>
      <c r="C78" s="30" t="n"/>
      <c r="D78" s="3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31">
        <f>IF(A78="", "", IFERROR(INDEX(Dashboard!$A$13:$A$35, MATCH(A78, Dashboard!$B$13:$B$35, 0)), ""))</f>
        <v/>
      </c>
    </row>
    <row r="79" ht="65" customHeight="1">
      <c r="A79" s="30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31">
        <f>IF(A79="", "", IFERROR(INDEX(Dashboard!$A$13:$A$35, MATCH(A79, Dashboard!$B$13:$B$35, 0)), ""))</f>
        <v/>
      </c>
    </row>
    <row r="80" ht="65" customHeight="1">
      <c r="A80" s="30" t="n"/>
      <c r="B80" s="30" t="n"/>
      <c r="C80" s="30" t="n"/>
      <c r="D80" s="30" t="n"/>
      <c r="E80" s="30" t="n"/>
      <c r="F80" s="30" t="n"/>
      <c r="G80" s="30" t="n"/>
      <c r="H80" s="30" t="n"/>
      <c r="I80" s="30" t="n"/>
      <c r="J80" s="30" t="n"/>
      <c r="K80" s="30" t="n"/>
      <c r="L80" s="30" t="n"/>
      <c r="M80" s="30" t="n"/>
      <c r="N80" s="30" t="n"/>
      <c r="O80" s="31">
        <f>IF(A80="", "", IFERROR(INDEX(Dashboard!$A$13:$A$35, MATCH(A80, Dashboard!$B$13:$B$35, 0)), ""))</f>
        <v/>
      </c>
    </row>
    <row r="81" ht="65" customHeight="1">
      <c r="A81" s="30" t="n"/>
      <c r="B81" s="30" t="n"/>
      <c r="C81" s="30" t="n"/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30" t="n"/>
      <c r="N81" s="30" t="n"/>
      <c r="O81" s="31">
        <f>IF(A81="", "", IFERROR(INDEX(Dashboard!$A$13:$A$35, MATCH(A81, Dashboard!$B$13:$B$35, 0)), ""))</f>
        <v/>
      </c>
    </row>
    <row r="82" ht="65" customHeight="1">
      <c r="A82" s="30" t="n"/>
      <c r="B82" s="30" t="n"/>
      <c r="C82" s="30" t="n"/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31">
        <f>IF(A82="", "", IFERROR(INDEX(Dashboard!$A$13:$A$35, MATCH(A82, Dashboard!$B$13:$B$35, 0)), ""))</f>
        <v/>
      </c>
    </row>
    <row r="83" ht="65" customHeight="1">
      <c r="A83" s="30" t="n"/>
      <c r="B83" s="30" t="n"/>
      <c r="C83" s="30" t="n"/>
      <c r="D83" s="3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  <c r="N83" s="30" t="n"/>
      <c r="O83" s="31">
        <f>IF(A83="", "", IFERROR(INDEX(Dashboard!$A$13:$A$35, MATCH(A83, Dashboard!$B$13:$B$35, 0)), ""))</f>
        <v/>
      </c>
    </row>
    <row r="84" ht="65" customHeight="1">
      <c r="A84" s="30" t="n"/>
      <c r="B84" s="30" t="n"/>
      <c r="C84" s="30" t="n"/>
      <c r="D84" s="3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0" t="n"/>
      <c r="N84" s="30" t="n"/>
      <c r="O84" s="31">
        <f>IF(A84="", "", IFERROR(INDEX(Dashboard!$A$13:$A$35, MATCH(A84, Dashboard!$B$13:$B$35, 0)), ""))</f>
        <v/>
      </c>
    </row>
    <row r="85" ht="65" customHeight="1">
      <c r="A85" s="30" t="n"/>
      <c r="B85" s="30" t="n"/>
      <c r="C85" s="30" t="n"/>
      <c r="D85" s="3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31">
        <f>IF(A85="", "", IFERROR(INDEX(Dashboard!$A$13:$A$35, MATCH(A85, Dashboard!$B$13:$B$35, 0)), ""))</f>
        <v/>
      </c>
    </row>
    <row r="86" ht="65" customHeight="1">
      <c r="A86" s="30" t="n"/>
      <c r="B86" s="30" t="n"/>
      <c r="C86" s="30" t="n"/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31">
        <f>IF(A86="", "", IFERROR(INDEX(Dashboard!$A$13:$A$35, MATCH(A86, Dashboard!$B$13:$B$35, 0)), ""))</f>
        <v/>
      </c>
    </row>
    <row r="87" ht="65" customHeight="1">
      <c r="A87" s="30" t="n"/>
      <c r="B87" s="30" t="n"/>
      <c r="C87" s="30" t="n"/>
      <c r="D87" s="3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31">
        <f>IF(A87="", "", IFERROR(INDEX(Dashboard!$A$13:$A$35, MATCH(A87, Dashboard!$B$13:$B$35, 0)), ""))</f>
        <v/>
      </c>
    </row>
    <row r="88" ht="65" customHeight="1">
      <c r="A88" s="30" t="n"/>
      <c r="B88" s="30" t="n"/>
      <c r="C88" s="30" t="n"/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1">
        <f>IF(A88="", "", IFERROR(INDEX(Dashboard!$A$13:$A$35, MATCH(A88, Dashboard!$B$13:$B$35, 0)), ""))</f>
        <v/>
      </c>
    </row>
    <row r="89" ht="65" customHeight="1">
      <c r="A89" s="30" t="n"/>
      <c r="B89" s="30" t="n"/>
      <c r="C89" s="30" t="n"/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1">
        <f>IF(A89="", "", IFERROR(INDEX(Dashboard!$A$13:$A$35, MATCH(A89, Dashboard!$B$13:$B$35, 0)), ""))</f>
        <v/>
      </c>
    </row>
    <row r="90" ht="65" customHeight="1">
      <c r="A90" s="30" t="n"/>
      <c r="B90" s="30" t="n"/>
      <c r="C90" s="30" t="n"/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31">
        <f>IF(A90="", "", IFERROR(INDEX(Dashboard!$A$13:$A$35, MATCH(A90, Dashboard!$B$13:$B$35, 0)), ""))</f>
        <v/>
      </c>
    </row>
    <row r="91" ht="65" customHeight="1">
      <c r="A91" s="30" t="n"/>
      <c r="B91" s="30" t="n"/>
      <c r="C91" s="30" t="n"/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1">
        <f>IF(A91="", "", IFERROR(INDEX(Dashboard!$A$13:$A$35, MATCH(A91, Dashboard!$B$13:$B$35, 0)), ""))</f>
        <v/>
      </c>
    </row>
    <row r="92" ht="65" customHeight="1">
      <c r="A92" s="30" t="n"/>
      <c r="B92" s="30" t="n"/>
      <c r="C92" s="30" t="n"/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31">
        <f>IF(A92="", "", IFERROR(INDEX(Dashboard!$A$13:$A$35, MATCH(A92, Dashboard!$B$13:$B$35, 0)), ""))</f>
        <v/>
      </c>
    </row>
    <row r="93" ht="65" customHeight="1">
      <c r="A93" s="30" t="n"/>
      <c r="B93" s="30" t="n"/>
      <c r="C93" s="30" t="n"/>
      <c r="D93" s="3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31">
        <f>IF(A93="", "", IFERROR(INDEX(Dashboard!$A$13:$A$35, MATCH(A93, Dashboard!$B$13:$B$35, 0)), ""))</f>
        <v/>
      </c>
    </row>
    <row r="94" ht="65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31">
        <f>IF(A94="", "", IFERROR(INDEX(Dashboard!$A$13:$A$35, MATCH(A94, Dashboard!$B$13:$B$35, 0)), ""))</f>
        <v/>
      </c>
    </row>
    <row r="95" ht="65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1">
        <f>IF(A95="", "", IFERROR(INDEX(Dashboard!$A$13:$A$35, MATCH(A95, Dashboard!$B$13:$B$35, 0)), ""))</f>
        <v/>
      </c>
    </row>
    <row r="96" ht="65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1">
        <f>IF(A96="", "", IFERROR(INDEX(Dashboard!$A$13:$A$35, MATCH(A96, Dashboard!$B$13:$B$35, 0)), ""))</f>
        <v/>
      </c>
    </row>
    <row r="97" ht="65" customHeight="1">
      <c r="A97" s="30" t="n"/>
      <c r="B97" s="30" t="n"/>
      <c r="C97" s="30" t="n"/>
      <c r="D97" s="3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1">
        <f>IF(A97="", "", IFERROR(INDEX(Dashboard!$A$13:$A$35, MATCH(A97, Dashboard!$B$13:$B$35, 0)), ""))</f>
        <v/>
      </c>
    </row>
    <row r="98" ht="65" customHeight="1">
      <c r="A98" s="30" t="n"/>
      <c r="B98" s="30" t="n"/>
      <c r="C98" s="30" t="n"/>
      <c r="D98" s="3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1">
        <f>IF(A98="", "", IFERROR(INDEX(Dashboard!$A$13:$A$35, MATCH(A98, Dashboard!$B$13:$B$35, 0)), ""))</f>
        <v/>
      </c>
    </row>
    <row r="99" ht="65" customHeight="1">
      <c r="A99" s="30" t="n"/>
      <c r="B99" s="30" t="n"/>
      <c r="C99" s="30" t="n"/>
      <c r="D99" s="3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1">
        <f>IF(A99="", "", IFERROR(INDEX(Dashboard!$A$13:$A$35, MATCH(A99, Dashboard!$B$13:$B$35, 0)), ""))</f>
        <v/>
      </c>
    </row>
    <row r="100" ht="65" customHeight="1">
      <c r="A100" s="30" t="n"/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1">
        <f>IF(A100="", "", IFERROR(INDEX(Dashboard!$A$13:$A$35, MATCH(A100, Dashboard!$B$13:$B$35, 0)), ""))</f>
        <v/>
      </c>
    </row>
    <row r="101" ht="65" customHeight="1">
      <c r="A101" s="30" t="n"/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1">
        <f>IF(A101="", "", IFERROR(INDEX(Dashboard!$A$13:$A$35, MATCH(A101, Dashboard!$B$13:$B$35, 0)), ""))</f>
        <v/>
      </c>
    </row>
    <row r="102" ht="65" customHeight="1">
      <c r="A102" s="30" t="n"/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1">
        <f>IF(A102="", "", IFERROR(INDEX(Dashboard!$A$13:$A$35, MATCH(A102, Dashboard!$B$13:$B$35, 0)), ""))</f>
        <v/>
      </c>
    </row>
    <row r="103" ht="65" customHeight="1">
      <c r="A103" s="30" t="n"/>
      <c r="B103" s="30" t="n"/>
      <c r="C103" s="30" t="n"/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31">
        <f>IF(A103="", "", IFERROR(INDEX(Dashboard!$A$13:$A$35, MATCH(A103, Dashboard!$B$13:$B$35, 0)), ""))</f>
        <v/>
      </c>
    </row>
    <row r="104" ht="65" customHeight="1">
      <c r="A104" s="30" t="n"/>
      <c r="B104" s="30" t="n"/>
      <c r="C104" s="30" t="n"/>
      <c r="D104" s="30" t="n"/>
      <c r="E104" s="30" t="n"/>
      <c r="F104" s="30" t="n"/>
      <c r="G104" s="30" t="n"/>
      <c r="H104" s="30" t="n"/>
      <c r="I104" s="30" t="n"/>
      <c r="J104" s="30" t="n"/>
      <c r="K104" s="30" t="n"/>
      <c r="L104" s="30" t="n"/>
      <c r="M104" s="30" t="n"/>
      <c r="N104" s="30" t="n"/>
      <c r="O104" s="31">
        <f>IF(A104="", "", IFERROR(INDEX(Dashboard!$A$13:$A$35, MATCH(A104, Dashboard!$B$13:$B$35, 0)), ""))</f>
        <v/>
      </c>
    </row>
    <row r="105" ht="65" customHeight="1">
      <c r="A105" s="30" t="n"/>
      <c r="B105" s="30" t="n"/>
      <c r="C105" s="30" t="n"/>
      <c r="D105" s="30" t="n"/>
      <c r="E105" s="30" t="n"/>
      <c r="F105" s="30" t="n"/>
      <c r="G105" s="30" t="n"/>
      <c r="H105" s="30" t="n"/>
      <c r="I105" s="30" t="n"/>
      <c r="J105" s="30" t="n"/>
      <c r="K105" s="30" t="n"/>
      <c r="L105" s="30" t="n"/>
      <c r="M105" s="30" t="n"/>
      <c r="N105" s="30" t="n"/>
      <c r="O105" s="31">
        <f>IF(A105="", "", IFERROR(INDEX(Dashboard!$A$13:$A$35, MATCH(A105, Dashboard!$B$13:$B$35, 0)), ""))</f>
        <v/>
      </c>
    </row>
    <row r="106" ht="65" customHeight="1">
      <c r="A106" s="30" t="n"/>
      <c r="B106" s="30" t="n"/>
      <c r="C106" s="30" t="n"/>
      <c r="D106" s="30" t="n"/>
      <c r="E106" s="30" t="n"/>
      <c r="F106" s="30" t="n"/>
      <c r="G106" s="30" t="n"/>
      <c r="H106" s="30" t="n"/>
      <c r="I106" s="30" t="n"/>
      <c r="J106" s="30" t="n"/>
      <c r="K106" s="30" t="n"/>
      <c r="L106" s="30" t="n"/>
      <c r="M106" s="30" t="n"/>
      <c r="N106" s="30" t="n"/>
      <c r="O106" s="31">
        <f>IF(A106="", "", IFERROR(INDEX(Dashboard!$A$13:$A$35, MATCH(A106, Dashboard!$B$13:$B$35, 0)), ""))</f>
        <v/>
      </c>
    </row>
    <row r="107" ht="65" customHeight="1">
      <c r="A107" s="30" t="n"/>
      <c r="B107" s="30" t="n"/>
      <c r="C107" s="30" t="n"/>
      <c r="D107" s="30" t="n"/>
      <c r="E107" s="30" t="n"/>
      <c r="F107" s="30" t="n"/>
      <c r="G107" s="30" t="n"/>
      <c r="H107" s="30" t="n"/>
      <c r="I107" s="30" t="n"/>
      <c r="J107" s="30" t="n"/>
      <c r="K107" s="30" t="n"/>
      <c r="L107" s="30" t="n"/>
      <c r="M107" s="30" t="n"/>
      <c r="N107" s="30" t="n"/>
      <c r="O107" s="31">
        <f>IF(A107="", "", IFERROR(INDEX(Dashboard!$A$13:$A$35, MATCH(A107, Dashboard!$B$13:$B$35, 0)), ""))</f>
        <v/>
      </c>
    </row>
    <row r="108" ht="65" customHeight="1">
      <c r="A108" s="30" t="n"/>
      <c r="B108" s="30" t="n"/>
      <c r="C108" s="30" t="n"/>
      <c r="D108" s="30" t="n"/>
      <c r="E108" s="30" t="n"/>
      <c r="F108" s="30" t="n"/>
      <c r="G108" s="30" t="n"/>
      <c r="H108" s="30" t="n"/>
      <c r="I108" s="30" t="n"/>
      <c r="J108" s="30" t="n"/>
      <c r="K108" s="30" t="n"/>
      <c r="L108" s="30" t="n"/>
      <c r="M108" s="30" t="n"/>
      <c r="N108" s="30" t="n"/>
      <c r="O108" s="31">
        <f>IF(A108="", "", IFERROR(INDEX(Dashboard!$A$13:$A$35, MATCH(A108, Dashboard!$B$13:$B$35, 0)), ""))</f>
        <v/>
      </c>
    </row>
    <row r="109" ht="65" customHeight="1">
      <c r="A109" s="30" t="n"/>
      <c r="B109" s="30" t="n"/>
      <c r="C109" s="30" t="n"/>
      <c r="D109" s="3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30" t="n"/>
      <c r="N109" s="30" t="n"/>
      <c r="O109" s="31">
        <f>IF(A109="", "", IFERROR(INDEX(Dashboard!$A$13:$A$35, MATCH(A109, Dashboard!$B$13:$B$35, 0)), ""))</f>
        <v/>
      </c>
    </row>
    <row r="110" ht="65" customHeight="1">
      <c r="A110" s="30" t="n"/>
      <c r="B110" s="30" t="n"/>
      <c r="C110" s="30" t="n"/>
      <c r="D110" s="30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0" t="n"/>
      <c r="N110" s="30" t="n"/>
      <c r="O110" s="31">
        <f>IF(A110="", "", IFERROR(INDEX(Dashboard!$A$13:$A$35, MATCH(A110, Dashboard!$B$13:$B$35, 0)), ""))</f>
        <v/>
      </c>
    </row>
    <row r="111" ht="65" customHeight="1">
      <c r="A111" s="30" t="n"/>
      <c r="B111" s="30" t="n"/>
      <c r="C111" s="30" t="n"/>
      <c r="D111" s="30" t="n"/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0" t="n"/>
      <c r="N111" s="30" t="n"/>
      <c r="O111" s="31">
        <f>IF(A111="", "", IFERROR(INDEX(Dashboard!$A$13:$A$35, MATCH(A111, Dashboard!$B$13:$B$35, 0)), ""))</f>
        <v/>
      </c>
    </row>
    <row r="112" ht="65" customHeight="1">
      <c r="A112" s="30" t="n"/>
      <c r="B112" s="30" t="n"/>
      <c r="C112" s="30" t="n"/>
      <c r="D112" s="30" t="n"/>
      <c r="E112" s="30" t="n"/>
      <c r="F112" s="30" t="n"/>
      <c r="G112" s="30" t="n"/>
      <c r="H112" s="30" t="n"/>
      <c r="I112" s="30" t="n"/>
      <c r="J112" s="30" t="n"/>
      <c r="K112" s="30" t="n"/>
      <c r="L112" s="30" t="n"/>
      <c r="M112" s="30" t="n"/>
      <c r="N112" s="30" t="n"/>
      <c r="O112" s="31">
        <f>IF(A112="", "", IFERROR(INDEX(Dashboard!$A$13:$A$35, MATCH(A112, Dashboard!$B$13:$B$35, 0)), ""))</f>
        <v/>
      </c>
    </row>
    <row r="113" ht="65" customHeight="1">
      <c r="A113" s="30" t="n"/>
      <c r="B113" s="30" t="n"/>
      <c r="C113" s="30" t="n"/>
      <c r="D113" s="30" t="n"/>
      <c r="E113" s="30" t="n"/>
      <c r="F113" s="30" t="n"/>
      <c r="G113" s="30" t="n"/>
      <c r="H113" s="30" t="n"/>
      <c r="I113" s="30" t="n"/>
      <c r="J113" s="30" t="n"/>
      <c r="K113" s="30" t="n"/>
      <c r="L113" s="30" t="n"/>
      <c r="M113" s="30" t="n"/>
      <c r="N113" s="30" t="n"/>
      <c r="O113" s="31">
        <f>IF(A113="", "", IFERROR(INDEX(Dashboard!$A$13:$A$35, MATCH(A113, Dashboard!$B$13:$B$35, 0)), ""))</f>
        <v/>
      </c>
    </row>
    <row r="114" ht="65" customHeight="1">
      <c r="A114" s="30" t="n"/>
      <c r="B114" s="30" t="n"/>
      <c r="C114" s="30" t="n"/>
      <c r="D114" s="30" t="n"/>
      <c r="E114" s="30" t="n"/>
      <c r="F114" s="30" t="n"/>
      <c r="G114" s="30" t="n"/>
      <c r="H114" s="30" t="n"/>
      <c r="I114" s="30" t="n"/>
      <c r="J114" s="30" t="n"/>
      <c r="K114" s="30" t="n"/>
      <c r="L114" s="30" t="n"/>
      <c r="M114" s="30" t="n"/>
      <c r="N114" s="30" t="n"/>
      <c r="O114" s="31">
        <f>IF(A114="", "", IFERROR(INDEX(Dashboard!$A$13:$A$35, MATCH(A114, Dashboard!$B$13:$B$35, 0)), ""))</f>
        <v/>
      </c>
    </row>
    <row r="115" ht="65" customHeight="1">
      <c r="A115" s="30" t="n"/>
      <c r="B115" s="30" t="n"/>
      <c r="C115" s="30" t="n"/>
      <c r="D115" s="30" t="n"/>
      <c r="E115" s="30" t="n"/>
      <c r="F115" s="30" t="n"/>
      <c r="G115" s="30" t="n"/>
      <c r="H115" s="30" t="n"/>
      <c r="I115" s="30" t="n"/>
      <c r="J115" s="30" t="n"/>
      <c r="K115" s="30" t="n"/>
      <c r="L115" s="30" t="n"/>
      <c r="M115" s="30" t="n"/>
      <c r="N115" s="30" t="n"/>
      <c r="O115" s="31">
        <f>IF(A115="", "", IFERROR(INDEX(Dashboard!$A$13:$A$35, MATCH(A115, Dashboard!$B$13:$B$35, 0)), ""))</f>
        <v/>
      </c>
    </row>
    <row r="116" ht="65" customHeight="1">
      <c r="A116" s="30" t="n"/>
      <c r="B116" s="30" t="n"/>
      <c r="C116" s="30" t="n"/>
      <c r="D116" s="30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0" t="n"/>
      <c r="N116" s="30" t="n"/>
      <c r="O116" s="31">
        <f>IF(A116="", "", IFERROR(INDEX(Dashboard!$A$13:$A$35, MATCH(A116, Dashboard!$B$13:$B$35, 0)), ""))</f>
        <v/>
      </c>
    </row>
    <row r="117" ht="65" customHeight="1">
      <c r="A117" s="30" t="n"/>
      <c r="B117" s="30" t="n"/>
      <c r="C117" s="30" t="n"/>
      <c r="D117" s="30" t="n"/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1">
        <f>IF(A117="", "", IFERROR(INDEX(Dashboard!$A$13:$A$35, MATCH(A117, Dashboard!$B$13:$B$35, 0)), ""))</f>
        <v/>
      </c>
    </row>
    <row r="118" ht="65" customHeight="1">
      <c r="A118" s="30" t="n"/>
      <c r="B118" s="30" t="n"/>
      <c r="C118" s="30" t="n"/>
      <c r="D118" s="30" t="n"/>
      <c r="E118" s="30" t="n"/>
      <c r="F118" s="30" t="n"/>
      <c r="G118" s="30" t="n"/>
      <c r="H118" s="30" t="n"/>
      <c r="I118" s="30" t="n"/>
      <c r="J118" s="30" t="n"/>
      <c r="K118" s="30" t="n"/>
      <c r="L118" s="30" t="n"/>
      <c r="M118" s="30" t="n"/>
      <c r="N118" s="30" t="n"/>
      <c r="O118" s="31">
        <f>IF(A118="", "", IFERROR(INDEX(Dashboard!$A$13:$A$35, MATCH(A118, Dashboard!$B$13:$B$35, 0)), ""))</f>
        <v/>
      </c>
    </row>
    <row r="119" ht="65" customHeight="1">
      <c r="A119" s="30" t="n"/>
      <c r="B119" s="30" t="n"/>
      <c r="C119" s="30" t="n"/>
      <c r="D119" s="30" t="n"/>
      <c r="E119" s="30" t="n"/>
      <c r="F119" s="30" t="n"/>
      <c r="G119" s="30" t="n"/>
      <c r="H119" s="30" t="n"/>
      <c r="I119" s="30" t="n"/>
      <c r="J119" s="30" t="n"/>
      <c r="K119" s="30" t="n"/>
      <c r="L119" s="30" t="n"/>
      <c r="M119" s="30" t="n"/>
      <c r="N119" s="30" t="n"/>
      <c r="O119" s="31">
        <f>IF(A119="", "", IFERROR(INDEX(Dashboard!$A$13:$A$35, MATCH(A119, Dashboard!$B$13:$B$35, 0)), ""))</f>
        <v/>
      </c>
    </row>
    <row r="120" ht="65" customHeight="1">
      <c r="A120" s="30" t="n"/>
      <c r="B120" s="30" t="n"/>
      <c r="C120" s="30" t="n"/>
      <c r="D120" s="30" t="n"/>
      <c r="E120" s="30" t="n"/>
      <c r="F120" s="30" t="n"/>
      <c r="G120" s="30" t="n"/>
      <c r="H120" s="30" t="n"/>
      <c r="I120" s="30" t="n"/>
      <c r="J120" s="30" t="n"/>
      <c r="K120" s="30" t="n"/>
      <c r="L120" s="30" t="n"/>
      <c r="M120" s="30" t="n"/>
      <c r="N120" s="30" t="n"/>
      <c r="O120" s="31">
        <f>IF(A120="", "", IFERROR(INDEX(Dashboard!$A$13:$A$35, MATCH(A120, Dashboard!$B$13:$B$35, 0)), ""))</f>
        <v/>
      </c>
    </row>
    <row r="121" ht="65" customHeight="1">
      <c r="A121" s="30" t="n"/>
      <c r="B121" s="30" t="n"/>
      <c r="C121" s="30" t="n"/>
      <c r="D121" s="30" t="n"/>
      <c r="E121" s="30" t="n"/>
      <c r="F121" s="30" t="n"/>
      <c r="G121" s="30" t="n"/>
      <c r="H121" s="30" t="n"/>
      <c r="I121" s="30" t="n"/>
      <c r="J121" s="30" t="n"/>
      <c r="K121" s="30" t="n"/>
      <c r="L121" s="30" t="n"/>
      <c r="M121" s="30" t="n"/>
      <c r="N121" s="30" t="n"/>
      <c r="O121" s="31">
        <f>IF(A121="", "", IFERROR(INDEX(Dashboard!$A$13:$A$35, MATCH(A121, Dashboard!$B$13:$B$35, 0)), ""))</f>
        <v/>
      </c>
    </row>
    <row r="122" ht="65" customHeight="1">
      <c r="A122" s="30" t="n"/>
      <c r="B122" s="30" t="n"/>
      <c r="C122" s="30" t="n"/>
      <c r="D122" s="30" t="n"/>
      <c r="E122" s="30" t="n"/>
      <c r="F122" s="30" t="n"/>
      <c r="G122" s="30" t="n"/>
      <c r="H122" s="30" t="n"/>
      <c r="I122" s="30" t="n"/>
      <c r="J122" s="30" t="n"/>
      <c r="K122" s="30" t="n"/>
      <c r="L122" s="30" t="n"/>
      <c r="M122" s="30" t="n"/>
      <c r="N122" s="30" t="n"/>
      <c r="O122" s="31">
        <f>IF(A122="", "", IFERROR(INDEX(Dashboard!$A$13:$A$35, MATCH(A122, Dashboard!$B$13:$B$35, 0)), ""))</f>
        <v/>
      </c>
    </row>
    <row r="123" ht="65" customHeight="1">
      <c r="A123" s="30" t="n"/>
      <c r="B123" s="30" t="n"/>
      <c r="C123" s="30" t="n"/>
      <c r="D123" s="30" t="n"/>
      <c r="E123" s="30" t="n"/>
      <c r="F123" s="30" t="n"/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1">
        <f>IF(A123="", "", IFERROR(INDEX(Dashboard!$A$13:$A$35, MATCH(A123, Dashboard!$B$13:$B$35, 0)), ""))</f>
        <v/>
      </c>
    </row>
    <row r="124" ht="65" customHeight="1">
      <c r="A124" s="30" t="n"/>
      <c r="B124" s="30" t="n"/>
      <c r="C124" s="30" t="n"/>
      <c r="D124" s="30" t="n"/>
      <c r="E124" s="30" t="n"/>
      <c r="F124" s="30" t="n"/>
      <c r="G124" s="30" t="n"/>
      <c r="H124" s="30" t="n"/>
      <c r="I124" s="30" t="n"/>
      <c r="J124" s="30" t="n"/>
      <c r="K124" s="30" t="n"/>
      <c r="L124" s="30" t="n"/>
      <c r="M124" s="30" t="n"/>
      <c r="N124" s="30" t="n"/>
      <c r="O124" s="31">
        <f>IF(A124="", "", IFERROR(INDEX(Dashboard!$A$13:$A$35, MATCH(A124, Dashboard!$B$13:$B$35, 0)), ""))</f>
        <v/>
      </c>
    </row>
    <row r="125" ht="65" customHeight="1">
      <c r="A125" s="30" t="n"/>
      <c r="B125" s="30" t="n"/>
      <c r="C125" s="30" t="n"/>
      <c r="D125" s="30" t="n"/>
      <c r="E125" s="30" t="n"/>
      <c r="F125" s="30" t="n"/>
      <c r="G125" s="30" t="n"/>
      <c r="H125" s="30" t="n"/>
      <c r="I125" s="30" t="n"/>
      <c r="J125" s="30" t="n"/>
      <c r="K125" s="30" t="n"/>
      <c r="L125" s="30" t="n"/>
      <c r="M125" s="30" t="n"/>
      <c r="N125" s="30" t="n"/>
      <c r="O125" s="31">
        <f>IF(A125="", "", IFERROR(INDEX(Dashboard!$A$13:$A$35, MATCH(A125, Dashboard!$B$13:$B$35, 0)), ""))</f>
        <v/>
      </c>
    </row>
    <row r="126" ht="65" customHeight="1">
      <c r="A126" s="30" t="n"/>
      <c r="B126" s="30" t="n"/>
      <c r="C126" s="30" t="n"/>
      <c r="D126" s="30" t="n"/>
      <c r="E126" s="30" t="n"/>
      <c r="F126" s="30" t="n"/>
      <c r="G126" s="30" t="n"/>
      <c r="H126" s="30" t="n"/>
      <c r="I126" s="30" t="n"/>
      <c r="J126" s="30" t="n"/>
      <c r="K126" s="30" t="n"/>
      <c r="L126" s="30" t="n"/>
      <c r="M126" s="30" t="n"/>
      <c r="N126" s="30" t="n"/>
      <c r="O126" s="31">
        <f>IF(A126="", "", IFERROR(INDEX(Dashboard!$A$13:$A$35, MATCH(A126, Dashboard!$B$13:$B$35, 0)), ""))</f>
        <v/>
      </c>
    </row>
    <row r="127" ht="65" customHeight="1">
      <c r="A127" s="30" t="n"/>
      <c r="B127" s="30" t="n"/>
      <c r="C127" s="30" t="n"/>
      <c r="D127" s="30" t="n"/>
      <c r="E127" s="30" t="n"/>
      <c r="F127" s="30" t="n"/>
      <c r="G127" s="30" t="n"/>
      <c r="H127" s="30" t="n"/>
      <c r="I127" s="30" t="n"/>
      <c r="J127" s="30" t="n"/>
      <c r="K127" s="30" t="n"/>
      <c r="L127" s="30" t="n"/>
      <c r="M127" s="30" t="n"/>
      <c r="N127" s="30" t="n"/>
      <c r="O127" s="31">
        <f>IF(A127="", "", IFERROR(INDEX(Dashboard!$A$13:$A$35, MATCH(A127, Dashboard!$B$13:$B$35, 0)), ""))</f>
        <v/>
      </c>
    </row>
    <row r="128" ht="65" customHeight="1">
      <c r="A128" s="30" t="n"/>
      <c r="B128" s="30" t="n"/>
      <c r="C128" s="30" t="n"/>
      <c r="D128" s="30" t="n"/>
      <c r="E128" s="30" t="n"/>
      <c r="F128" s="30" t="n"/>
      <c r="G128" s="30" t="n"/>
      <c r="H128" s="30" t="n"/>
      <c r="I128" s="30" t="n"/>
      <c r="J128" s="30" t="n"/>
      <c r="K128" s="30" t="n"/>
      <c r="L128" s="30" t="n"/>
      <c r="M128" s="30" t="n"/>
      <c r="N128" s="30" t="n"/>
      <c r="O128" s="31">
        <f>IF(A128="", "", IFERROR(INDEX(Dashboard!$A$13:$A$35, MATCH(A128, Dashboard!$B$13:$B$35, 0)), ""))</f>
        <v/>
      </c>
    </row>
    <row r="129" ht="65" customHeight="1">
      <c r="A129" s="30" t="n"/>
      <c r="B129" s="30" t="n"/>
      <c r="C129" s="30" t="n"/>
      <c r="D129" s="30" t="n"/>
      <c r="E129" s="30" t="n"/>
      <c r="F129" s="30" t="n"/>
      <c r="G129" s="30" t="n"/>
      <c r="H129" s="30" t="n"/>
      <c r="I129" s="30" t="n"/>
      <c r="J129" s="30" t="n"/>
      <c r="K129" s="30" t="n"/>
      <c r="L129" s="30" t="n"/>
      <c r="M129" s="30" t="n"/>
      <c r="N129" s="30" t="n"/>
      <c r="O129" s="31">
        <f>IF(A129="", "", IFERROR(INDEX(Dashboard!$A$13:$A$35, MATCH(A129, Dashboard!$B$13:$B$35, 0)), ""))</f>
        <v/>
      </c>
    </row>
    <row r="130" ht="65" customHeight="1">
      <c r="A130" s="30" t="n"/>
      <c r="B130" s="30" t="n"/>
      <c r="C130" s="30" t="n"/>
      <c r="D130" s="30" t="n"/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1">
        <f>IF(A130="", "", IFERROR(INDEX(Dashboard!$A$13:$A$35, MATCH(A130, Dashboard!$B$13:$B$35, 0)), ""))</f>
        <v/>
      </c>
    </row>
    <row r="131" ht="65" customHeight="1">
      <c r="A131" s="30" t="n"/>
      <c r="B131" s="30" t="n"/>
      <c r="C131" s="30" t="n"/>
      <c r="D131" s="30" t="n"/>
      <c r="E131" s="30" t="n"/>
      <c r="F131" s="30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1">
        <f>IF(A131="", "", IFERROR(INDEX(Dashboard!$A$13:$A$35, MATCH(A131, Dashboard!$B$13:$B$35, 0)), ""))</f>
        <v/>
      </c>
    </row>
    <row r="132" ht="65" customHeight="1">
      <c r="A132" s="30" t="n"/>
      <c r="B132" s="30" t="n"/>
      <c r="C132" s="30" t="n"/>
      <c r="D132" s="30" t="n"/>
      <c r="E132" s="30" t="n"/>
      <c r="F132" s="30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1">
        <f>IF(A132="", "", IFERROR(INDEX(Dashboard!$A$13:$A$35, MATCH(A132, Dashboard!$B$13:$B$35, 0)), ""))</f>
        <v/>
      </c>
    </row>
    <row r="133" ht="65" customHeight="1">
      <c r="A133" s="30" t="n"/>
      <c r="B133" s="30" t="n"/>
      <c r="C133" s="30" t="n"/>
      <c r="D133" s="30" t="n"/>
      <c r="E133" s="30" t="n"/>
      <c r="F133" s="30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1">
        <f>IF(A133="", "", IFERROR(INDEX(Dashboard!$A$13:$A$35, MATCH(A133, Dashboard!$B$13:$B$35, 0)), ""))</f>
        <v/>
      </c>
    </row>
    <row r="134" ht="65" customHeight="1">
      <c r="A134" s="30" t="n"/>
      <c r="B134" s="30" t="n"/>
      <c r="C134" s="30" t="n"/>
      <c r="D134" s="30" t="n"/>
      <c r="E134" s="30" t="n"/>
      <c r="F134" s="30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1">
        <f>IF(A134="", "", IFERROR(INDEX(Dashboard!$A$13:$A$35, MATCH(A134, Dashboard!$B$13:$B$35, 0)), ""))</f>
        <v/>
      </c>
    </row>
    <row r="135" ht="65" customHeight="1">
      <c r="A135" s="30" t="n"/>
      <c r="B135" s="30" t="n"/>
      <c r="C135" s="30" t="n"/>
      <c r="D135" s="30" t="n"/>
      <c r="E135" s="30" t="n"/>
      <c r="F135" s="30" t="n"/>
      <c r="G135" s="30" t="n"/>
      <c r="H135" s="30" t="n"/>
      <c r="I135" s="30" t="n"/>
      <c r="J135" s="30" t="n"/>
      <c r="K135" s="30" t="n"/>
      <c r="L135" s="30" t="n"/>
      <c r="M135" s="30" t="n"/>
      <c r="N135" s="30" t="n"/>
      <c r="O135" s="31">
        <f>IF(A135="", "", IFERROR(INDEX(Dashboard!$A$13:$A$35, MATCH(A135, Dashboard!$B$13:$B$35, 0)), ""))</f>
        <v/>
      </c>
    </row>
    <row r="136" ht="65" customHeight="1">
      <c r="A136" s="30" t="n"/>
      <c r="B136" s="30" t="n"/>
      <c r="C136" s="30" t="n"/>
      <c r="D136" s="30" t="n"/>
      <c r="E136" s="30" t="n"/>
      <c r="F136" s="30" t="n"/>
      <c r="G136" s="30" t="n"/>
      <c r="H136" s="30" t="n"/>
      <c r="I136" s="30" t="n"/>
      <c r="J136" s="30" t="n"/>
      <c r="K136" s="30" t="n"/>
      <c r="L136" s="30" t="n"/>
      <c r="M136" s="30" t="n"/>
      <c r="N136" s="30" t="n"/>
      <c r="O136" s="31">
        <f>IF(A136="", "", IFERROR(INDEX(Dashboard!$A$13:$A$35, MATCH(A136, Dashboard!$B$13:$B$35, 0)), ""))</f>
        <v/>
      </c>
    </row>
    <row r="137" ht="65" customHeight="1">
      <c r="A137" s="30" t="n"/>
      <c r="B137" s="30" t="n"/>
      <c r="C137" s="30" t="n"/>
      <c r="D137" s="30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1">
        <f>IF(A137="", "", IFERROR(INDEX(Dashboard!$A$13:$A$35, MATCH(A137, Dashboard!$B$13:$B$35, 0)), ""))</f>
        <v/>
      </c>
    </row>
    <row r="138" ht="65" customHeight="1">
      <c r="A138" s="30" t="n"/>
      <c r="B138" s="30" t="n"/>
      <c r="C138" s="30" t="n"/>
      <c r="D138" s="30" t="n"/>
      <c r="E138" s="30" t="n"/>
      <c r="F138" s="30" t="n"/>
      <c r="G138" s="30" t="n"/>
      <c r="H138" s="30" t="n"/>
      <c r="I138" s="30" t="n"/>
      <c r="J138" s="30" t="n"/>
      <c r="K138" s="30" t="n"/>
      <c r="L138" s="30" t="n"/>
      <c r="M138" s="30" t="n"/>
      <c r="N138" s="30" t="n"/>
      <c r="O138" s="31">
        <f>IF(A138="", "", IFERROR(INDEX(Dashboard!$A$13:$A$35, MATCH(A138, Dashboard!$B$13:$B$35, 0)), ""))</f>
        <v/>
      </c>
    </row>
    <row r="139" ht="65" customHeight="1">
      <c r="A139" s="30" t="n"/>
      <c r="B139" s="30" t="n"/>
      <c r="C139" s="30" t="n"/>
      <c r="D139" s="30" t="n"/>
      <c r="E139" s="30" t="n"/>
      <c r="F139" s="30" t="n"/>
      <c r="G139" s="30" t="n"/>
      <c r="H139" s="30" t="n"/>
      <c r="I139" s="30" t="n"/>
      <c r="J139" s="30" t="n"/>
      <c r="K139" s="30" t="n"/>
      <c r="L139" s="30" t="n"/>
      <c r="M139" s="30" t="n"/>
      <c r="N139" s="30" t="n"/>
      <c r="O139" s="31">
        <f>IF(A139="", "", IFERROR(INDEX(Dashboard!$A$13:$A$35, MATCH(A139, Dashboard!$B$13:$B$35, 0)), ""))</f>
        <v/>
      </c>
    </row>
    <row r="140" ht="65" customHeight="1">
      <c r="A140" s="30" t="n"/>
      <c r="B140" s="30" t="n"/>
      <c r="C140" s="30" t="n"/>
      <c r="D140" s="30" t="n"/>
      <c r="E140" s="30" t="n"/>
      <c r="F140" s="30" t="n"/>
      <c r="G140" s="30" t="n"/>
      <c r="H140" s="30" t="n"/>
      <c r="I140" s="30" t="n"/>
      <c r="J140" s="30" t="n"/>
      <c r="K140" s="30" t="n"/>
      <c r="L140" s="30" t="n"/>
      <c r="M140" s="30" t="n"/>
      <c r="N140" s="30" t="n"/>
      <c r="O140" s="31">
        <f>IF(A140="", "", IFERROR(INDEX(Dashboard!$A$13:$A$35, MATCH(A140, Dashboard!$B$13:$B$35, 0)), ""))</f>
        <v/>
      </c>
    </row>
    <row r="141" ht="65" customHeight="1">
      <c r="A141" s="30" t="n"/>
      <c r="B141" s="30" t="n"/>
      <c r="C141" s="30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  <c r="M141" s="30" t="n"/>
      <c r="N141" s="30" t="n"/>
      <c r="O141" s="31">
        <f>IF(A141="", "", IFERROR(INDEX(Dashboard!$A$13:$A$35, MATCH(A141, Dashboard!$B$13:$B$35, 0)), ""))</f>
        <v/>
      </c>
    </row>
    <row r="142" ht="65" customHeight="1">
      <c r="A142" s="30" t="n"/>
      <c r="B142" s="30" t="n"/>
      <c r="C142" s="30" t="n"/>
      <c r="D142" s="30" t="n"/>
      <c r="E142" s="30" t="n"/>
      <c r="F142" s="30" t="n"/>
      <c r="G142" s="30" t="n"/>
      <c r="H142" s="30" t="n"/>
      <c r="I142" s="30" t="n"/>
      <c r="J142" s="30" t="n"/>
      <c r="K142" s="30" t="n"/>
      <c r="L142" s="30" t="n"/>
      <c r="M142" s="30" t="n"/>
      <c r="N142" s="30" t="n"/>
      <c r="O142" s="31">
        <f>IF(A142="", "", IFERROR(INDEX(Dashboard!$A$13:$A$35, MATCH(A142, Dashboard!$B$13:$B$35, 0)), ""))</f>
        <v/>
      </c>
    </row>
    <row r="143" ht="65" customHeight="1">
      <c r="A143" s="30" t="n"/>
      <c r="B143" s="30" t="n"/>
      <c r="C143" s="30" t="n"/>
      <c r="D143" s="30" t="n"/>
      <c r="E143" s="30" t="n"/>
      <c r="F143" s="30" t="n"/>
      <c r="G143" s="30" t="n"/>
      <c r="H143" s="30" t="n"/>
      <c r="I143" s="30" t="n"/>
      <c r="J143" s="30" t="n"/>
      <c r="K143" s="30" t="n"/>
      <c r="L143" s="30" t="n"/>
      <c r="M143" s="30" t="n"/>
      <c r="N143" s="30" t="n"/>
      <c r="O143" s="31">
        <f>IF(A143="", "", IFERROR(INDEX(Dashboard!$A$13:$A$35, MATCH(A143, Dashboard!$B$13:$B$35, 0)), ""))</f>
        <v/>
      </c>
    </row>
    <row r="144" ht="65" customHeight="1">
      <c r="A144" s="30" t="n"/>
      <c r="B144" s="30" t="n"/>
      <c r="C144" s="30" t="n"/>
      <c r="D144" s="30" t="n"/>
      <c r="E144" s="30" t="n"/>
      <c r="F144" s="30" t="n"/>
      <c r="G144" s="30" t="n"/>
      <c r="H144" s="30" t="n"/>
      <c r="I144" s="30" t="n"/>
      <c r="J144" s="30" t="n"/>
      <c r="K144" s="30" t="n"/>
      <c r="L144" s="30" t="n"/>
      <c r="M144" s="30" t="n"/>
      <c r="N144" s="30" t="n"/>
      <c r="O144" s="31">
        <f>IF(A144="", "", IFERROR(INDEX(Dashboard!$A$13:$A$35, MATCH(A144, Dashboard!$B$13:$B$35, 0)), ""))</f>
        <v/>
      </c>
    </row>
    <row r="145" ht="65" customHeight="1">
      <c r="A145" s="30" t="n"/>
      <c r="B145" s="30" t="n"/>
      <c r="C145" s="30" t="n"/>
      <c r="D145" s="30" t="n"/>
      <c r="E145" s="30" t="n"/>
      <c r="F145" s="30" t="n"/>
      <c r="G145" s="30" t="n"/>
      <c r="H145" s="30" t="n"/>
      <c r="I145" s="30" t="n"/>
      <c r="J145" s="30" t="n"/>
      <c r="K145" s="30" t="n"/>
      <c r="L145" s="30" t="n"/>
      <c r="M145" s="30" t="n"/>
      <c r="N145" s="30" t="n"/>
      <c r="O145" s="31">
        <f>IF(A145="", "", IFERROR(INDEX(Dashboard!$A$13:$A$35, MATCH(A145, Dashboard!$B$13:$B$35, 0)), ""))</f>
        <v/>
      </c>
    </row>
    <row r="146" ht="65" customHeight="1">
      <c r="A146" s="30" t="n"/>
      <c r="B146" s="30" t="n"/>
      <c r="C146" s="30" t="n"/>
      <c r="D146" s="30" t="n"/>
      <c r="E146" s="30" t="n"/>
      <c r="F146" s="30" t="n"/>
      <c r="G146" s="30" t="n"/>
      <c r="H146" s="30" t="n"/>
      <c r="I146" s="30" t="n"/>
      <c r="J146" s="30" t="n"/>
      <c r="K146" s="30" t="n"/>
      <c r="L146" s="30" t="n"/>
      <c r="M146" s="30" t="n"/>
      <c r="N146" s="30" t="n"/>
      <c r="O146" s="31">
        <f>IF(A146="", "", IFERROR(INDEX(Dashboard!$A$13:$A$35, MATCH(A146, Dashboard!$B$13:$B$35, 0)), ""))</f>
        <v/>
      </c>
    </row>
    <row r="147" ht="65" customHeight="1">
      <c r="A147" s="30" t="n"/>
      <c r="B147" s="30" t="n"/>
      <c r="C147" s="30" t="n"/>
      <c r="D147" s="30" t="n"/>
      <c r="E147" s="30" t="n"/>
      <c r="F147" s="30" t="n"/>
      <c r="G147" s="30" t="n"/>
      <c r="H147" s="30" t="n"/>
      <c r="I147" s="30" t="n"/>
      <c r="J147" s="30" t="n"/>
      <c r="K147" s="30" t="n"/>
      <c r="L147" s="30" t="n"/>
      <c r="M147" s="30" t="n"/>
      <c r="N147" s="30" t="n"/>
      <c r="O147" s="31">
        <f>IF(A147="", "", IFERROR(INDEX(Dashboard!$A$13:$A$35, MATCH(A147, Dashboard!$B$13:$B$35, 0)), ""))</f>
        <v/>
      </c>
    </row>
    <row r="148" ht="65" customHeight="1">
      <c r="A148" s="30" t="n"/>
      <c r="B148" s="30" t="n"/>
      <c r="C148" s="30" t="n"/>
      <c r="D148" s="30" t="n"/>
      <c r="E148" s="30" t="n"/>
      <c r="F148" s="30" t="n"/>
      <c r="G148" s="30" t="n"/>
      <c r="H148" s="30" t="n"/>
      <c r="I148" s="30" t="n"/>
      <c r="J148" s="30" t="n"/>
      <c r="K148" s="30" t="n"/>
      <c r="L148" s="30" t="n"/>
      <c r="M148" s="30" t="n"/>
      <c r="N148" s="30" t="n"/>
      <c r="O148" s="31">
        <f>IF(A148="", "", IFERROR(INDEX(Dashboard!$A$13:$A$35, MATCH(A148, Dashboard!$B$13:$B$35, 0)), ""))</f>
        <v/>
      </c>
    </row>
    <row r="149" ht="65" customHeight="1">
      <c r="A149" s="30" t="n"/>
      <c r="B149" s="30" t="n"/>
      <c r="C149" s="30" t="n"/>
      <c r="D149" s="30" t="n"/>
      <c r="E149" s="30" t="n"/>
      <c r="F149" s="30" t="n"/>
      <c r="G149" s="30" t="n"/>
      <c r="H149" s="30" t="n"/>
      <c r="I149" s="30" t="n"/>
      <c r="J149" s="30" t="n"/>
      <c r="K149" s="30" t="n"/>
      <c r="L149" s="30" t="n"/>
      <c r="M149" s="30" t="n"/>
      <c r="N149" s="30" t="n"/>
      <c r="O149" s="31">
        <f>IF(A149="", "", IFERROR(INDEX(Dashboard!$A$13:$A$35, MATCH(A149, Dashboard!$B$13:$B$35, 0)), ""))</f>
        <v/>
      </c>
    </row>
    <row r="150" ht="65" customHeight="1">
      <c r="A150" s="30" t="n"/>
      <c r="B150" s="30" t="n"/>
      <c r="C150" s="30" t="n"/>
      <c r="D150" s="30" t="n"/>
      <c r="E150" s="30" t="n"/>
      <c r="F150" s="30" t="n"/>
      <c r="G150" s="30" t="n"/>
      <c r="H150" s="30" t="n"/>
      <c r="I150" s="30" t="n"/>
      <c r="J150" s="30" t="n"/>
      <c r="K150" s="30" t="n"/>
      <c r="L150" s="30" t="n"/>
      <c r="M150" s="30" t="n"/>
      <c r="N150" s="30" t="n"/>
      <c r="O150" s="31">
        <f>IF(A150="", "", IFERROR(INDEX(Dashboard!$A$13:$A$35, MATCH(A150, Dashboard!$B$13:$B$35, 0)), ""))</f>
        <v/>
      </c>
    </row>
    <row r="151" ht="65" customHeight="1">
      <c r="A151" s="30" t="n"/>
      <c r="B151" s="30" t="n"/>
      <c r="C151" s="30" t="n"/>
      <c r="D151" s="30" t="n"/>
      <c r="E151" s="30" t="n"/>
      <c r="F151" s="30" t="n"/>
      <c r="G151" s="30" t="n"/>
      <c r="H151" s="30" t="n"/>
      <c r="I151" s="30" t="n"/>
      <c r="J151" s="30" t="n"/>
      <c r="K151" s="30" t="n"/>
      <c r="L151" s="30" t="n"/>
      <c r="M151" s="30" t="n"/>
      <c r="N151" s="30" t="n"/>
      <c r="O151" s="31">
        <f>IF(A151="", "", IFERROR(INDEX(Dashboard!$A$13:$A$35, MATCH(A151, Dashboard!$B$13:$B$35, 0)), ""))</f>
        <v/>
      </c>
    </row>
    <row r="152" ht="65" customHeight="1">
      <c r="A152" s="30" t="n"/>
      <c r="B152" s="30" t="n"/>
      <c r="C152" s="30" t="n"/>
      <c r="D152" s="30" t="n"/>
      <c r="E152" s="30" t="n"/>
      <c r="F152" s="30" t="n"/>
      <c r="G152" s="30" t="n"/>
      <c r="H152" s="30" t="n"/>
      <c r="I152" s="30" t="n"/>
      <c r="J152" s="30" t="n"/>
      <c r="K152" s="30" t="n"/>
      <c r="L152" s="30" t="n"/>
      <c r="M152" s="30" t="n"/>
      <c r="N152" s="30" t="n"/>
      <c r="O152" s="31">
        <f>IF(A152="", "", IFERROR(INDEX(Dashboard!$A$13:$A$35, MATCH(A152, Dashboard!$B$13:$B$35, 0)), ""))</f>
        <v/>
      </c>
    </row>
    <row r="153" ht="65" customHeight="1">
      <c r="A153" s="30" t="n"/>
      <c r="B153" s="30" t="n"/>
      <c r="C153" s="30" t="n"/>
      <c r="D153" s="30" t="n"/>
      <c r="E153" s="30" t="n"/>
      <c r="F153" s="30" t="n"/>
      <c r="G153" s="30" t="n"/>
      <c r="H153" s="30" t="n"/>
      <c r="I153" s="30" t="n"/>
      <c r="J153" s="30" t="n"/>
      <c r="K153" s="30" t="n"/>
      <c r="L153" s="30" t="n"/>
      <c r="M153" s="30" t="n"/>
      <c r="N153" s="30" t="n"/>
      <c r="O153" s="31">
        <f>IF(A153="", "", IFERROR(INDEX(Dashboard!$A$13:$A$35, MATCH(A153, Dashboard!$B$13:$B$35, 0)), ""))</f>
        <v/>
      </c>
    </row>
    <row r="154" ht="65" customHeight="1">
      <c r="A154" s="30" t="n"/>
      <c r="B154" s="30" t="n"/>
      <c r="C154" s="30" t="n"/>
      <c r="D154" s="30" t="n"/>
      <c r="E154" s="30" t="n"/>
      <c r="F154" s="30" t="n"/>
      <c r="G154" s="30" t="n"/>
      <c r="H154" s="30" t="n"/>
      <c r="I154" s="30" t="n"/>
      <c r="J154" s="30" t="n"/>
      <c r="K154" s="30" t="n"/>
      <c r="L154" s="30" t="n"/>
      <c r="M154" s="30" t="n"/>
      <c r="N154" s="30" t="n"/>
      <c r="O154" s="31">
        <f>IF(A154="", "", IFERROR(INDEX(Dashboard!$A$13:$A$35, MATCH(A154, Dashboard!$B$13:$B$35, 0)), ""))</f>
        <v/>
      </c>
    </row>
    <row r="155" ht="65" customHeight="1">
      <c r="A155" s="30" t="n"/>
      <c r="B155" s="30" t="n"/>
      <c r="C155" s="30" t="n"/>
      <c r="D155" s="30" t="n"/>
      <c r="E155" s="30" t="n"/>
      <c r="F155" s="30" t="n"/>
      <c r="G155" s="30" t="n"/>
      <c r="H155" s="30" t="n"/>
      <c r="I155" s="30" t="n"/>
      <c r="J155" s="30" t="n"/>
      <c r="K155" s="30" t="n"/>
      <c r="L155" s="30" t="n"/>
      <c r="M155" s="30" t="n"/>
      <c r="N155" s="30" t="n"/>
      <c r="O155" s="31">
        <f>IF(A155="", "", IFERROR(INDEX(Dashboard!$A$13:$A$35, MATCH(A155, Dashboard!$B$13:$B$35, 0)), ""))</f>
        <v/>
      </c>
    </row>
    <row r="156" ht="65" customHeight="1">
      <c r="A156" s="30" t="n"/>
      <c r="B156" s="30" t="n"/>
      <c r="C156" s="30" t="n"/>
      <c r="D156" s="30" t="n"/>
      <c r="E156" s="30" t="n"/>
      <c r="F156" s="30" t="n"/>
      <c r="G156" s="30" t="n"/>
      <c r="H156" s="30" t="n"/>
      <c r="I156" s="30" t="n"/>
      <c r="J156" s="30" t="n"/>
      <c r="K156" s="30" t="n"/>
      <c r="L156" s="30" t="n"/>
      <c r="M156" s="30" t="n"/>
      <c r="N156" s="30" t="n"/>
      <c r="O156" s="31">
        <f>IF(A156="", "", IFERROR(INDEX(Dashboard!$A$13:$A$35, MATCH(A156, Dashboard!$B$13:$B$35, 0)), ""))</f>
        <v/>
      </c>
    </row>
    <row r="157" ht="65" customHeight="1">
      <c r="A157" s="30" t="n"/>
      <c r="B157" s="30" t="n"/>
      <c r="C157" s="30" t="n"/>
      <c r="D157" s="30" t="n"/>
      <c r="E157" s="30" t="n"/>
      <c r="F157" s="30" t="n"/>
      <c r="G157" s="30" t="n"/>
      <c r="H157" s="30" t="n"/>
      <c r="I157" s="30" t="n"/>
      <c r="J157" s="30" t="n"/>
      <c r="K157" s="30" t="n"/>
      <c r="L157" s="30" t="n"/>
      <c r="M157" s="30" t="n"/>
      <c r="N157" s="30" t="n"/>
      <c r="O157" s="31">
        <f>IF(A157="", "", IFERROR(INDEX(Dashboard!$A$13:$A$35, MATCH(A157, Dashboard!$B$13:$B$35, 0)), ""))</f>
        <v/>
      </c>
    </row>
    <row r="158" ht="65" customHeight="1">
      <c r="A158" s="30" t="n"/>
      <c r="B158" s="30" t="n"/>
      <c r="C158" s="30" t="n"/>
      <c r="D158" s="30" t="n"/>
      <c r="E158" s="30" t="n"/>
      <c r="F158" s="30" t="n"/>
      <c r="G158" s="30" t="n"/>
      <c r="H158" s="30" t="n"/>
      <c r="I158" s="30" t="n"/>
      <c r="J158" s="30" t="n"/>
      <c r="K158" s="30" t="n"/>
      <c r="L158" s="30" t="n"/>
      <c r="M158" s="30" t="n"/>
      <c r="N158" s="30" t="n"/>
      <c r="O158" s="31">
        <f>IF(A158="", "", IFERROR(INDEX(Dashboard!$A$13:$A$35, MATCH(A158, Dashboard!$B$13:$B$35, 0)), ""))</f>
        <v/>
      </c>
    </row>
    <row r="159" ht="65" customHeight="1">
      <c r="A159" s="30" t="n"/>
      <c r="B159" s="30" t="n"/>
      <c r="C159" s="30" t="n"/>
      <c r="D159" s="30" t="n"/>
      <c r="E159" s="30" t="n"/>
      <c r="F159" s="30" t="n"/>
      <c r="G159" s="30" t="n"/>
      <c r="H159" s="30" t="n"/>
      <c r="I159" s="30" t="n"/>
      <c r="J159" s="30" t="n"/>
      <c r="K159" s="30" t="n"/>
      <c r="L159" s="30" t="n"/>
      <c r="M159" s="30" t="n"/>
      <c r="N159" s="30" t="n"/>
      <c r="O159" s="31">
        <f>IF(A159="", "", IFERROR(INDEX(Dashboard!$A$13:$A$35, MATCH(A159, Dashboard!$B$13:$B$35, 0)), ""))</f>
        <v/>
      </c>
    </row>
    <row r="160" ht="65" customHeight="1">
      <c r="A160" s="30" t="n"/>
      <c r="B160" s="30" t="n"/>
      <c r="C160" s="30" t="n"/>
      <c r="D160" s="30" t="n"/>
      <c r="E160" s="30" t="n"/>
      <c r="F160" s="30" t="n"/>
      <c r="G160" s="30" t="n"/>
      <c r="H160" s="30" t="n"/>
      <c r="I160" s="30" t="n"/>
      <c r="J160" s="30" t="n"/>
      <c r="K160" s="30" t="n"/>
      <c r="L160" s="30" t="n"/>
      <c r="M160" s="30" t="n"/>
      <c r="N160" s="30" t="n"/>
      <c r="O160" s="31">
        <f>IF(A160="", "", IFERROR(INDEX(Dashboard!$A$13:$A$35, MATCH(A160, Dashboard!$B$13:$B$35, 0)), ""))</f>
        <v/>
      </c>
    </row>
    <row r="161" ht="65" customHeight="1">
      <c r="A161" s="30" t="n"/>
      <c r="B161" s="30" t="n"/>
      <c r="C161" s="30" t="n"/>
      <c r="D161" s="30" t="n"/>
      <c r="E161" s="30" t="n"/>
      <c r="F161" s="30" t="n"/>
      <c r="G161" s="30" t="n"/>
      <c r="H161" s="30" t="n"/>
      <c r="I161" s="30" t="n"/>
      <c r="J161" s="30" t="n"/>
      <c r="K161" s="30" t="n"/>
      <c r="L161" s="30" t="n"/>
      <c r="M161" s="30" t="n"/>
      <c r="N161" s="30" t="n"/>
      <c r="O161" s="31">
        <f>IF(A161="", "", IFERROR(INDEX(Dashboard!$A$13:$A$35, MATCH(A161, Dashboard!$B$13:$B$35, 0)), ""))</f>
        <v/>
      </c>
    </row>
    <row r="162" ht="65" customHeight="1">
      <c r="A162" s="30" t="n"/>
      <c r="B162" s="30" t="n"/>
      <c r="C162" s="30" t="n"/>
      <c r="D162" s="30" t="n"/>
      <c r="E162" s="30" t="n"/>
      <c r="F162" s="30" t="n"/>
      <c r="G162" s="30" t="n"/>
      <c r="H162" s="30" t="n"/>
      <c r="I162" s="30" t="n"/>
      <c r="J162" s="30" t="n"/>
      <c r="K162" s="30" t="n"/>
      <c r="L162" s="30" t="n"/>
      <c r="M162" s="30" t="n"/>
      <c r="N162" s="30" t="n"/>
      <c r="O162" s="31">
        <f>IF(A162="", "", IFERROR(INDEX(Dashboard!$A$13:$A$35, MATCH(A162, Dashboard!$B$13:$B$35, 0)), ""))</f>
        <v/>
      </c>
    </row>
    <row r="163" ht="65" customHeight="1">
      <c r="A163" s="30" t="n"/>
      <c r="B163" s="30" t="n"/>
      <c r="C163" s="30" t="n"/>
      <c r="D163" s="30" t="n"/>
      <c r="E163" s="30" t="n"/>
      <c r="F163" s="30" t="n"/>
      <c r="G163" s="30" t="n"/>
      <c r="H163" s="30" t="n"/>
      <c r="I163" s="30" t="n"/>
      <c r="J163" s="30" t="n"/>
      <c r="K163" s="30" t="n"/>
      <c r="L163" s="30" t="n"/>
      <c r="M163" s="30" t="n"/>
      <c r="N163" s="30" t="n"/>
      <c r="O163" s="31">
        <f>IF(A163="", "", IFERROR(INDEX(Dashboard!$A$13:$A$35, MATCH(A163, Dashboard!$B$13:$B$35, 0)), ""))</f>
        <v/>
      </c>
    </row>
    <row r="164" ht="65" customHeight="1">
      <c r="A164" s="30" t="n"/>
      <c r="B164" s="30" t="n"/>
      <c r="C164" s="30" t="n"/>
      <c r="D164" s="30" t="n"/>
      <c r="E164" s="30" t="n"/>
      <c r="F164" s="30" t="n"/>
      <c r="G164" s="30" t="n"/>
      <c r="H164" s="30" t="n"/>
      <c r="I164" s="30" t="n"/>
      <c r="J164" s="30" t="n"/>
      <c r="K164" s="30" t="n"/>
      <c r="L164" s="30" t="n"/>
      <c r="M164" s="30" t="n"/>
      <c r="N164" s="30" t="n"/>
      <c r="O164" s="31">
        <f>IF(A164="", "", IFERROR(INDEX(Dashboard!$A$13:$A$35, MATCH(A164, Dashboard!$B$13:$B$35, 0)), ""))</f>
        <v/>
      </c>
    </row>
    <row r="165" ht="65" customHeight="1">
      <c r="A165" s="30" t="n"/>
      <c r="B165" s="30" t="n"/>
      <c r="C165" s="30" t="n"/>
      <c r="D165" s="30" t="n"/>
      <c r="E165" s="30" t="n"/>
      <c r="F165" s="30" t="n"/>
      <c r="G165" s="30" t="n"/>
      <c r="H165" s="30" t="n"/>
      <c r="I165" s="30" t="n"/>
      <c r="J165" s="30" t="n"/>
      <c r="K165" s="30" t="n"/>
      <c r="L165" s="30" t="n"/>
      <c r="M165" s="30" t="n"/>
      <c r="N165" s="30" t="n"/>
      <c r="O165" s="31">
        <f>IF(A165="", "", IFERROR(INDEX(Dashboard!$A$13:$A$35, MATCH(A165, Dashboard!$B$13:$B$35, 0)), ""))</f>
        <v/>
      </c>
    </row>
    <row r="166" ht="65" customHeight="1">
      <c r="A166" s="30" t="n"/>
      <c r="B166" s="30" t="n"/>
      <c r="C166" s="30" t="n"/>
      <c r="D166" s="30" t="n"/>
      <c r="E166" s="30" t="n"/>
      <c r="F166" s="30" t="n"/>
      <c r="G166" s="30" t="n"/>
      <c r="H166" s="30" t="n"/>
      <c r="I166" s="30" t="n"/>
      <c r="J166" s="30" t="n"/>
      <c r="K166" s="30" t="n"/>
      <c r="L166" s="30" t="n"/>
      <c r="M166" s="30" t="n"/>
      <c r="N166" s="30" t="n"/>
      <c r="O166" s="31">
        <f>IF(A166="", "", IFERROR(INDEX(Dashboard!$A$13:$A$35, MATCH(A166, Dashboard!$B$13:$B$35, 0)), ""))</f>
        <v/>
      </c>
    </row>
    <row r="167" ht="65" customHeight="1">
      <c r="A167" s="30" t="n"/>
      <c r="B167" s="30" t="n"/>
      <c r="C167" s="30" t="n"/>
      <c r="D167" s="30" t="n"/>
      <c r="E167" s="30" t="n"/>
      <c r="F167" s="30" t="n"/>
      <c r="G167" s="30" t="n"/>
      <c r="H167" s="30" t="n"/>
      <c r="I167" s="30" t="n"/>
      <c r="J167" s="30" t="n"/>
      <c r="K167" s="30" t="n"/>
      <c r="L167" s="30" t="n"/>
      <c r="M167" s="30" t="n"/>
      <c r="N167" s="30" t="n"/>
      <c r="O167" s="31">
        <f>IF(A167="", "", IFERROR(INDEX(Dashboard!$A$13:$A$35, MATCH(A167, Dashboard!$B$13:$B$35, 0)), ""))</f>
        <v/>
      </c>
    </row>
    <row r="168" ht="65" customHeight="1">
      <c r="A168" s="30" t="n"/>
      <c r="B168" s="30" t="n"/>
      <c r="C168" s="30" t="n"/>
      <c r="D168" s="30" t="n"/>
      <c r="E168" s="30" t="n"/>
      <c r="F168" s="30" t="n"/>
      <c r="G168" s="30" t="n"/>
      <c r="H168" s="30" t="n"/>
      <c r="I168" s="30" t="n"/>
      <c r="J168" s="30" t="n"/>
      <c r="K168" s="30" t="n"/>
      <c r="L168" s="30" t="n"/>
      <c r="M168" s="30" t="n"/>
      <c r="N168" s="30" t="n"/>
      <c r="O168" s="31">
        <f>IF(A168="", "", IFERROR(INDEX(Dashboard!$A$13:$A$35, MATCH(A168, Dashboard!$B$13:$B$35, 0)), ""))</f>
        <v/>
      </c>
    </row>
    <row r="169" ht="65" customHeight="1">
      <c r="A169" s="30" t="n"/>
      <c r="B169" s="30" t="n"/>
      <c r="C169" s="30" t="n"/>
      <c r="D169" s="30" t="n"/>
      <c r="E169" s="30" t="n"/>
      <c r="F169" s="30" t="n"/>
      <c r="G169" s="30" t="n"/>
      <c r="H169" s="30" t="n"/>
      <c r="I169" s="30" t="n"/>
      <c r="J169" s="30" t="n"/>
      <c r="K169" s="30" t="n"/>
      <c r="L169" s="30" t="n"/>
      <c r="M169" s="30" t="n"/>
      <c r="N169" s="30" t="n"/>
      <c r="O169" s="31">
        <f>IF(A169="", "", IFERROR(INDEX(Dashboard!$A$13:$A$35, MATCH(A169, Dashboard!$B$13:$B$35, 0)), ""))</f>
        <v/>
      </c>
    </row>
    <row r="170" ht="65" customHeight="1">
      <c r="A170" s="30" t="n"/>
      <c r="B170" s="30" t="n"/>
      <c r="C170" s="30" t="n"/>
      <c r="D170" s="30" t="n"/>
      <c r="E170" s="30" t="n"/>
      <c r="F170" s="30" t="n"/>
      <c r="G170" s="30" t="n"/>
      <c r="H170" s="30" t="n"/>
      <c r="I170" s="30" t="n"/>
      <c r="J170" s="30" t="n"/>
      <c r="K170" s="30" t="n"/>
      <c r="L170" s="30" t="n"/>
      <c r="M170" s="30" t="n"/>
      <c r="N170" s="30" t="n"/>
      <c r="O170" s="31">
        <f>IF(A170="", "", IFERROR(INDEX(Dashboard!$A$13:$A$35, MATCH(A170, Dashboard!$B$13:$B$35, 0)), ""))</f>
        <v/>
      </c>
    </row>
    <row r="171" ht="65" customHeight="1">
      <c r="A171" s="30" t="n"/>
      <c r="B171" s="30" t="n"/>
      <c r="C171" s="30" t="n"/>
      <c r="D171" s="30" t="n"/>
      <c r="E171" s="30" t="n"/>
      <c r="F171" s="30" t="n"/>
      <c r="G171" s="30" t="n"/>
      <c r="H171" s="30" t="n"/>
      <c r="I171" s="30" t="n"/>
      <c r="J171" s="30" t="n"/>
      <c r="K171" s="30" t="n"/>
      <c r="L171" s="30" t="n"/>
      <c r="M171" s="30" t="n"/>
      <c r="N171" s="30" t="n"/>
      <c r="O171" s="31">
        <f>IF(A171="", "", IFERROR(INDEX(Dashboard!$A$13:$A$35, MATCH(A171, Dashboard!$B$13:$B$35, 0)), ""))</f>
        <v/>
      </c>
    </row>
    <row r="172" ht="65" customHeight="1">
      <c r="A172" s="30" t="n"/>
      <c r="B172" s="30" t="n"/>
      <c r="C172" s="30" t="n"/>
      <c r="D172" s="30" t="n"/>
      <c r="E172" s="30" t="n"/>
      <c r="F172" s="30" t="n"/>
      <c r="G172" s="30" t="n"/>
      <c r="H172" s="30" t="n"/>
      <c r="I172" s="30" t="n"/>
      <c r="J172" s="30" t="n"/>
      <c r="K172" s="30" t="n"/>
      <c r="L172" s="30" t="n"/>
      <c r="M172" s="30" t="n"/>
      <c r="N172" s="30" t="n"/>
      <c r="O172" s="31">
        <f>IF(A172="", "", IFERROR(INDEX(Dashboard!$A$13:$A$35, MATCH(A172, Dashboard!$B$13:$B$35, 0)), ""))</f>
        <v/>
      </c>
    </row>
    <row r="173" ht="65" customHeight="1">
      <c r="A173" s="30" t="n"/>
      <c r="B173" s="30" t="n"/>
      <c r="C173" s="30" t="n"/>
      <c r="D173" s="30" t="n"/>
      <c r="E173" s="30" t="n"/>
      <c r="F173" s="30" t="n"/>
      <c r="G173" s="30" t="n"/>
      <c r="H173" s="30" t="n"/>
      <c r="I173" s="30" t="n"/>
      <c r="J173" s="30" t="n"/>
      <c r="K173" s="30" t="n"/>
      <c r="L173" s="30" t="n"/>
      <c r="M173" s="30" t="n"/>
      <c r="N173" s="30" t="n"/>
      <c r="O173" s="31">
        <f>IF(A173="", "", IFERROR(INDEX(Dashboard!$A$13:$A$35, MATCH(A173, Dashboard!$B$13:$B$35, 0)), ""))</f>
        <v/>
      </c>
    </row>
    <row r="174" ht="65" customHeight="1">
      <c r="A174" s="30" t="n"/>
      <c r="B174" s="30" t="n"/>
      <c r="C174" s="30" t="n"/>
      <c r="D174" s="30" t="n"/>
      <c r="E174" s="30" t="n"/>
      <c r="F174" s="30" t="n"/>
      <c r="G174" s="30" t="n"/>
      <c r="H174" s="30" t="n"/>
      <c r="I174" s="30" t="n"/>
      <c r="J174" s="30" t="n"/>
      <c r="K174" s="30" t="n"/>
      <c r="L174" s="30" t="n"/>
      <c r="M174" s="30" t="n"/>
      <c r="N174" s="30" t="n"/>
      <c r="O174" s="31">
        <f>IF(A174="", "", IFERROR(INDEX(Dashboard!$A$13:$A$35, MATCH(A174, Dashboard!$B$13:$B$35, 0)), ""))</f>
        <v/>
      </c>
    </row>
    <row r="175" ht="65" customHeight="1">
      <c r="A175" s="30" t="n"/>
      <c r="B175" s="30" t="n"/>
      <c r="C175" s="30" t="n"/>
      <c r="D175" s="30" t="n"/>
      <c r="E175" s="30" t="n"/>
      <c r="F175" s="30" t="n"/>
      <c r="G175" s="30" t="n"/>
      <c r="H175" s="30" t="n"/>
      <c r="I175" s="30" t="n"/>
      <c r="J175" s="30" t="n"/>
      <c r="K175" s="30" t="n"/>
      <c r="L175" s="30" t="n"/>
      <c r="M175" s="30" t="n"/>
      <c r="N175" s="30" t="n"/>
      <c r="O175" s="31">
        <f>IF(A175="", "", IFERROR(INDEX(Dashboard!$A$13:$A$35, MATCH(A175, Dashboard!$B$13:$B$35, 0)), ""))</f>
        <v/>
      </c>
    </row>
    <row r="176" ht="65" customHeight="1">
      <c r="A176" s="30" t="n"/>
      <c r="B176" s="30" t="n"/>
      <c r="C176" s="30" t="n"/>
      <c r="D176" s="30" t="n"/>
      <c r="E176" s="30" t="n"/>
      <c r="F176" s="30" t="n"/>
      <c r="G176" s="30" t="n"/>
      <c r="H176" s="30" t="n"/>
      <c r="I176" s="30" t="n"/>
      <c r="J176" s="30" t="n"/>
      <c r="K176" s="30" t="n"/>
      <c r="L176" s="30" t="n"/>
      <c r="M176" s="30" t="n"/>
      <c r="N176" s="30" t="n"/>
      <c r="O176" s="31">
        <f>IF(A176="", "", IFERROR(INDEX(Dashboard!$A$13:$A$35, MATCH(A176, Dashboard!$B$13:$B$35, 0)), ""))</f>
        <v/>
      </c>
    </row>
    <row r="177" ht="65" customHeight="1">
      <c r="A177" s="30" t="n"/>
      <c r="B177" s="30" t="n"/>
      <c r="C177" s="30" t="n"/>
      <c r="D177" s="30" t="n"/>
      <c r="E177" s="30" t="n"/>
      <c r="F177" s="30" t="n"/>
      <c r="G177" s="30" t="n"/>
      <c r="H177" s="30" t="n"/>
      <c r="I177" s="30" t="n"/>
      <c r="J177" s="30" t="n"/>
      <c r="K177" s="30" t="n"/>
      <c r="L177" s="30" t="n"/>
      <c r="M177" s="30" t="n"/>
      <c r="N177" s="30" t="n"/>
      <c r="O177" s="31">
        <f>IF(A177="", "", IFERROR(INDEX(Dashboard!$A$13:$A$35, MATCH(A177, Dashboard!$B$13:$B$35, 0)), ""))</f>
        <v/>
      </c>
    </row>
    <row r="178" ht="65" customHeight="1">
      <c r="A178" s="30" t="n"/>
      <c r="B178" s="30" t="n"/>
      <c r="C178" s="30" t="n"/>
      <c r="D178" s="30" t="n"/>
      <c r="E178" s="30" t="n"/>
      <c r="F178" s="30" t="n"/>
      <c r="G178" s="30" t="n"/>
      <c r="H178" s="30" t="n"/>
      <c r="I178" s="30" t="n"/>
      <c r="J178" s="30" t="n"/>
      <c r="K178" s="30" t="n"/>
      <c r="L178" s="30" t="n"/>
      <c r="M178" s="30" t="n"/>
      <c r="N178" s="30" t="n"/>
      <c r="O178" s="31">
        <f>IF(A178="", "", IFERROR(INDEX(Dashboard!$A$13:$A$35, MATCH(A178, Dashboard!$B$13:$B$35, 0)), ""))</f>
        <v/>
      </c>
    </row>
    <row r="179" ht="65" customHeight="1">
      <c r="A179" s="30" t="n"/>
      <c r="B179" s="30" t="n"/>
      <c r="C179" s="30" t="n"/>
      <c r="D179" s="30" t="n"/>
      <c r="E179" s="30" t="n"/>
      <c r="F179" s="30" t="n"/>
      <c r="G179" s="30" t="n"/>
      <c r="H179" s="30" t="n"/>
      <c r="I179" s="30" t="n"/>
      <c r="J179" s="30" t="n"/>
      <c r="K179" s="30" t="n"/>
      <c r="L179" s="30" t="n"/>
      <c r="M179" s="30" t="n"/>
      <c r="N179" s="30" t="n"/>
      <c r="O179" s="31">
        <f>IF(A179="", "", IFERROR(INDEX(Dashboard!$A$13:$A$35, MATCH(A179, Dashboard!$B$13:$B$35, 0)), ""))</f>
        <v/>
      </c>
    </row>
    <row r="180" ht="65" customHeight="1">
      <c r="A180" s="30" t="n"/>
      <c r="B180" s="30" t="n"/>
      <c r="C180" s="30" t="n"/>
      <c r="D180" s="30" t="n"/>
      <c r="E180" s="30" t="n"/>
      <c r="F180" s="30" t="n"/>
      <c r="G180" s="30" t="n"/>
      <c r="H180" s="30" t="n"/>
      <c r="I180" s="30" t="n"/>
      <c r="J180" s="30" t="n"/>
      <c r="K180" s="30" t="n"/>
      <c r="L180" s="30" t="n"/>
      <c r="M180" s="30" t="n"/>
      <c r="N180" s="30" t="n"/>
      <c r="O180" s="31">
        <f>IF(A180="", "", IFERROR(INDEX(Dashboard!$A$13:$A$35, MATCH(A180, Dashboard!$B$13:$B$35, 0)), ""))</f>
        <v/>
      </c>
    </row>
    <row r="181" ht="65" customHeight="1">
      <c r="A181" s="30" t="n"/>
      <c r="B181" s="30" t="n"/>
      <c r="C181" s="30" t="n"/>
      <c r="D181" s="30" t="n"/>
      <c r="E181" s="30" t="n"/>
      <c r="F181" s="30" t="n"/>
      <c r="G181" s="30" t="n"/>
      <c r="H181" s="30" t="n"/>
      <c r="I181" s="30" t="n"/>
      <c r="J181" s="30" t="n"/>
      <c r="K181" s="30" t="n"/>
      <c r="L181" s="30" t="n"/>
      <c r="M181" s="30" t="n"/>
      <c r="N181" s="30" t="n"/>
      <c r="O181" s="31">
        <f>IF(A181="", "", IFERROR(INDEX(Dashboard!$A$13:$A$35, MATCH(A181, Dashboard!$B$13:$B$35, 0)), ""))</f>
        <v/>
      </c>
    </row>
    <row r="182" ht="65" customHeight="1">
      <c r="A182" s="30" t="n"/>
      <c r="B182" s="30" t="n"/>
      <c r="C182" s="30" t="n"/>
      <c r="D182" s="30" t="n"/>
      <c r="E182" s="30" t="n"/>
      <c r="F182" s="30" t="n"/>
      <c r="G182" s="30" t="n"/>
      <c r="H182" s="30" t="n"/>
      <c r="I182" s="30" t="n"/>
      <c r="J182" s="30" t="n"/>
      <c r="K182" s="30" t="n"/>
      <c r="L182" s="30" t="n"/>
      <c r="M182" s="30" t="n"/>
      <c r="N182" s="30" t="n"/>
      <c r="O182" s="31">
        <f>IF(A182="", "", IFERROR(INDEX(Dashboard!$A$13:$A$35, MATCH(A182, Dashboard!$B$13:$B$35, 0)), ""))</f>
        <v/>
      </c>
    </row>
    <row r="183" ht="65" customHeight="1">
      <c r="A183" s="30" t="n"/>
      <c r="B183" s="30" t="n"/>
      <c r="C183" s="30" t="n"/>
      <c r="D183" s="30" t="n"/>
      <c r="E183" s="30" t="n"/>
      <c r="F183" s="30" t="n"/>
      <c r="G183" s="30" t="n"/>
      <c r="H183" s="30" t="n"/>
      <c r="I183" s="30" t="n"/>
      <c r="J183" s="30" t="n"/>
      <c r="K183" s="30" t="n"/>
      <c r="L183" s="30" t="n"/>
      <c r="M183" s="30" t="n"/>
      <c r="N183" s="30" t="n"/>
      <c r="O183" s="31">
        <f>IF(A183="", "", IFERROR(INDEX(Dashboard!$A$13:$A$35, MATCH(A183, Dashboard!$B$13:$B$35, 0)), ""))</f>
        <v/>
      </c>
    </row>
    <row r="184" ht="65" customHeight="1">
      <c r="A184" s="30" t="n"/>
      <c r="B184" s="30" t="n"/>
      <c r="C184" s="30" t="n"/>
      <c r="D184" s="30" t="n"/>
      <c r="E184" s="30" t="n"/>
      <c r="F184" s="30" t="n"/>
      <c r="G184" s="30" t="n"/>
      <c r="H184" s="30" t="n"/>
      <c r="I184" s="30" t="n"/>
      <c r="J184" s="30" t="n"/>
      <c r="K184" s="30" t="n"/>
      <c r="L184" s="30" t="n"/>
      <c r="M184" s="30" t="n"/>
      <c r="N184" s="30" t="n"/>
      <c r="O184" s="31">
        <f>IF(A184="", "", IFERROR(INDEX(Dashboard!$A$13:$A$35, MATCH(A184, Dashboard!$B$13:$B$35, 0)), ""))</f>
        <v/>
      </c>
    </row>
    <row r="185" ht="65" customHeight="1">
      <c r="A185" s="30" t="n"/>
      <c r="B185" s="30" t="n"/>
      <c r="C185" s="30" t="n"/>
      <c r="D185" s="30" t="n"/>
      <c r="E185" s="30" t="n"/>
      <c r="F185" s="30" t="n"/>
      <c r="G185" s="30" t="n"/>
      <c r="H185" s="30" t="n"/>
      <c r="I185" s="30" t="n"/>
      <c r="J185" s="30" t="n"/>
      <c r="K185" s="30" t="n"/>
      <c r="L185" s="30" t="n"/>
      <c r="M185" s="30" t="n"/>
      <c r="N185" s="30" t="n"/>
      <c r="O185" s="31">
        <f>IF(A185="", "", IFERROR(INDEX(Dashboard!$A$13:$A$35, MATCH(A185, Dashboard!$B$13:$B$35, 0)), ""))</f>
        <v/>
      </c>
    </row>
    <row r="186" ht="65" customHeight="1">
      <c r="A186" s="30" t="n"/>
      <c r="B186" s="30" t="n"/>
      <c r="C186" s="30" t="n"/>
      <c r="D186" s="30" t="n"/>
      <c r="E186" s="30" t="n"/>
      <c r="F186" s="30" t="n"/>
      <c r="G186" s="30" t="n"/>
      <c r="H186" s="30" t="n"/>
      <c r="I186" s="30" t="n"/>
      <c r="J186" s="30" t="n"/>
      <c r="K186" s="30" t="n"/>
      <c r="L186" s="30" t="n"/>
      <c r="M186" s="30" t="n"/>
      <c r="N186" s="30" t="n"/>
      <c r="O186" s="31">
        <f>IF(A186="", "", IFERROR(INDEX(Dashboard!$A$13:$A$35, MATCH(A186, Dashboard!$B$13:$B$35, 0)), ""))</f>
        <v/>
      </c>
    </row>
    <row r="187" ht="65" customHeight="1">
      <c r="A187" s="30" t="n"/>
      <c r="B187" s="30" t="n"/>
      <c r="C187" s="30" t="n"/>
      <c r="D187" s="30" t="n"/>
      <c r="E187" s="30" t="n"/>
      <c r="F187" s="30" t="n"/>
      <c r="G187" s="30" t="n"/>
      <c r="H187" s="30" t="n"/>
      <c r="I187" s="30" t="n"/>
      <c r="J187" s="30" t="n"/>
      <c r="K187" s="30" t="n"/>
      <c r="L187" s="30" t="n"/>
      <c r="M187" s="30" t="n"/>
      <c r="N187" s="30" t="n"/>
      <c r="O187" s="31">
        <f>IF(A187="", "", IFERROR(INDEX(Dashboard!$A$13:$A$35, MATCH(A187, Dashboard!$B$13:$B$35, 0)), ""))</f>
        <v/>
      </c>
    </row>
    <row r="188" ht="65" customHeight="1">
      <c r="A188" s="30" t="n"/>
      <c r="B188" s="30" t="n"/>
      <c r="C188" s="30" t="n"/>
      <c r="D188" s="30" t="n"/>
      <c r="E188" s="30" t="n"/>
      <c r="F188" s="30" t="n"/>
      <c r="G188" s="30" t="n"/>
      <c r="H188" s="30" t="n"/>
      <c r="I188" s="30" t="n"/>
      <c r="J188" s="30" t="n"/>
      <c r="K188" s="30" t="n"/>
      <c r="L188" s="30" t="n"/>
      <c r="M188" s="30" t="n"/>
      <c r="N188" s="30" t="n"/>
      <c r="O188" s="31">
        <f>IF(A188="", "", IFERROR(INDEX(Dashboard!$A$13:$A$35, MATCH(A188, Dashboard!$B$13:$B$35, 0)), ""))</f>
        <v/>
      </c>
    </row>
    <row r="189" ht="65" customHeight="1">
      <c r="A189" s="30" t="n"/>
      <c r="B189" s="30" t="n"/>
      <c r="C189" s="30" t="n"/>
      <c r="D189" s="30" t="n"/>
      <c r="E189" s="30" t="n"/>
      <c r="F189" s="30" t="n"/>
      <c r="G189" s="30" t="n"/>
      <c r="H189" s="30" t="n"/>
      <c r="I189" s="30" t="n"/>
      <c r="J189" s="30" t="n"/>
      <c r="K189" s="30" t="n"/>
      <c r="L189" s="30" t="n"/>
      <c r="M189" s="30" t="n"/>
      <c r="N189" s="30" t="n"/>
      <c r="O189" s="31">
        <f>IF(A189="", "", IFERROR(INDEX(Dashboard!$A$13:$A$35, MATCH(A189, Dashboard!$B$13:$B$35, 0)), ""))</f>
        <v/>
      </c>
    </row>
    <row r="190" ht="65" customHeight="1">
      <c r="A190" s="30" t="n"/>
      <c r="B190" s="30" t="n"/>
      <c r="C190" s="30" t="n"/>
      <c r="D190" s="30" t="n"/>
      <c r="E190" s="30" t="n"/>
      <c r="F190" s="30" t="n"/>
      <c r="G190" s="30" t="n"/>
      <c r="H190" s="30" t="n"/>
      <c r="I190" s="30" t="n"/>
      <c r="J190" s="30" t="n"/>
      <c r="K190" s="30" t="n"/>
      <c r="L190" s="30" t="n"/>
      <c r="M190" s="30" t="n"/>
      <c r="N190" s="30" t="n"/>
      <c r="O190" s="31">
        <f>IF(A190="", "", IFERROR(INDEX(Dashboard!$A$13:$A$35, MATCH(A190, Dashboard!$B$13:$B$35, 0)), ""))</f>
        <v/>
      </c>
    </row>
    <row r="191" ht="65" customHeight="1">
      <c r="A191" s="30" t="n"/>
      <c r="B191" s="30" t="n"/>
      <c r="C191" s="30" t="n"/>
      <c r="D191" s="30" t="n"/>
      <c r="E191" s="30" t="n"/>
      <c r="F191" s="30" t="n"/>
      <c r="G191" s="30" t="n"/>
      <c r="H191" s="30" t="n"/>
      <c r="I191" s="30" t="n"/>
      <c r="J191" s="30" t="n"/>
      <c r="K191" s="30" t="n"/>
      <c r="L191" s="30" t="n"/>
      <c r="M191" s="30" t="n"/>
      <c r="N191" s="30" t="n"/>
      <c r="O191" s="31">
        <f>IF(A191="", "", IFERROR(INDEX(Dashboard!$A$13:$A$35, MATCH(A191, Dashboard!$B$13:$B$35, 0)), ""))</f>
        <v/>
      </c>
    </row>
    <row r="192" ht="65" customHeight="1">
      <c r="A192" s="30" t="n"/>
      <c r="B192" s="30" t="n"/>
      <c r="C192" s="30" t="n"/>
      <c r="D192" s="30" t="n"/>
      <c r="E192" s="30" t="n"/>
      <c r="F192" s="30" t="n"/>
      <c r="G192" s="30" t="n"/>
      <c r="H192" s="30" t="n"/>
      <c r="I192" s="30" t="n"/>
      <c r="J192" s="30" t="n"/>
      <c r="K192" s="30" t="n"/>
      <c r="L192" s="30" t="n"/>
      <c r="M192" s="30" t="n"/>
      <c r="N192" s="30" t="n"/>
      <c r="O192" s="31">
        <f>IF(A192="", "", IFERROR(INDEX(Dashboard!$A$13:$A$35, MATCH(A192, Dashboard!$B$13:$B$35, 0)), ""))</f>
        <v/>
      </c>
    </row>
    <row r="193" ht="65" customHeight="1">
      <c r="A193" s="30" t="n"/>
      <c r="B193" s="30" t="n"/>
      <c r="C193" s="30" t="n"/>
      <c r="D193" s="30" t="n"/>
      <c r="E193" s="30" t="n"/>
      <c r="F193" s="30" t="n"/>
      <c r="G193" s="30" t="n"/>
      <c r="H193" s="30" t="n"/>
      <c r="I193" s="30" t="n"/>
      <c r="J193" s="30" t="n"/>
      <c r="K193" s="30" t="n"/>
      <c r="L193" s="30" t="n"/>
      <c r="M193" s="30" t="n"/>
      <c r="N193" s="30" t="n"/>
      <c r="O193" s="31">
        <f>IF(A193="", "", IFERROR(INDEX(Dashboard!$A$13:$A$35, MATCH(A193, Dashboard!$B$13:$B$35, 0)), ""))</f>
        <v/>
      </c>
    </row>
    <row r="194" ht="65" customHeight="1">
      <c r="A194" s="30" t="n"/>
      <c r="B194" s="30" t="n"/>
      <c r="C194" s="30" t="n"/>
      <c r="D194" s="30" t="n"/>
      <c r="E194" s="30" t="n"/>
      <c r="F194" s="30" t="n"/>
      <c r="G194" s="30" t="n"/>
      <c r="H194" s="30" t="n"/>
      <c r="I194" s="30" t="n"/>
      <c r="J194" s="30" t="n"/>
      <c r="K194" s="30" t="n"/>
      <c r="L194" s="30" t="n"/>
      <c r="M194" s="30" t="n"/>
      <c r="N194" s="30" t="n"/>
      <c r="O194" s="31">
        <f>IF(A194="", "", IFERROR(INDEX(Dashboard!$A$13:$A$35, MATCH(A194, Dashboard!$B$13:$B$35, 0)), ""))</f>
        <v/>
      </c>
    </row>
    <row r="195" ht="65" customHeight="1">
      <c r="A195" s="30" t="n"/>
      <c r="B195" s="30" t="n"/>
      <c r="C195" s="30" t="n"/>
      <c r="D195" s="30" t="n"/>
      <c r="E195" s="30" t="n"/>
      <c r="F195" s="30" t="n"/>
      <c r="G195" s="30" t="n"/>
      <c r="H195" s="30" t="n"/>
      <c r="I195" s="30" t="n"/>
      <c r="J195" s="30" t="n"/>
      <c r="K195" s="30" t="n"/>
      <c r="L195" s="30" t="n"/>
      <c r="M195" s="30" t="n"/>
      <c r="N195" s="30" t="n"/>
      <c r="O195" s="31">
        <f>IF(A195="", "", IFERROR(INDEX(Dashboard!$A$13:$A$35, MATCH(A195, Dashboard!$B$13:$B$35, 0)), ""))</f>
        <v/>
      </c>
    </row>
    <row r="196" ht="65" customHeight="1">
      <c r="A196" s="30" t="n"/>
      <c r="B196" s="30" t="n"/>
      <c r="C196" s="30" t="n"/>
      <c r="D196" s="30" t="n"/>
      <c r="E196" s="30" t="n"/>
      <c r="F196" s="30" t="n"/>
      <c r="G196" s="30" t="n"/>
      <c r="H196" s="30" t="n"/>
      <c r="I196" s="30" t="n"/>
      <c r="J196" s="30" t="n"/>
      <c r="K196" s="30" t="n"/>
      <c r="L196" s="30" t="n"/>
      <c r="M196" s="30" t="n"/>
      <c r="N196" s="30" t="n"/>
      <c r="O196" s="31">
        <f>IF(A196="", "", IFERROR(INDEX(Dashboard!$A$13:$A$35, MATCH(A196, Dashboard!$B$13:$B$35, 0)), ""))</f>
        <v/>
      </c>
    </row>
    <row r="197" ht="65" customHeight="1">
      <c r="A197" s="30" t="n"/>
      <c r="B197" s="30" t="n"/>
      <c r="C197" s="30" t="n"/>
      <c r="D197" s="30" t="n"/>
      <c r="E197" s="30" t="n"/>
      <c r="F197" s="30" t="n"/>
      <c r="G197" s="30" t="n"/>
      <c r="H197" s="30" t="n"/>
      <c r="I197" s="30" t="n"/>
      <c r="J197" s="30" t="n"/>
      <c r="K197" s="30" t="n"/>
      <c r="L197" s="30" t="n"/>
      <c r="M197" s="30" t="n"/>
      <c r="N197" s="30" t="n"/>
      <c r="O197" s="31">
        <f>IF(A197="", "", IFERROR(INDEX(Dashboard!$A$13:$A$35, MATCH(A197, Dashboard!$B$13:$B$35, 0)), ""))</f>
        <v/>
      </c>
    </row>
    <row r="198" ht="65" customHeight="1">
      <c r="A198" s="30" t="n"/>
      <c r="B198" s="30" t="n"/>
      <c r="C198" s="30" t="n"/>
      <c r="D198" s="30" t="n"/>
      <c r="E198" s="30" t="n"/>
      <c r="F198" s="30" t="n"/>
      <c r="G198" s="30" t="n"/>
      <c r="H198" s="30" t="n"/>
      <c r="I198" s="30" t="n"/>
      <c r="J198" s="30" t="n"/>
      <c r="K198" s="30" t="n"/>
      <c r="L198" s="30" t="n"/>
      <c r="M198" s="30" t="n"/>
      <c r="N198" s="30" t="n"/>
      <c r="O198" s="31">
        <f>IF(A198="", "", IFERROR(INDEX(Dashboard!$A$13:$A$35, MATCH(A198, Dashboard!$B$13:$B$35, 0)), ""))</f>
        <v/>
      </c>
    </row>
    <row r="199" ht="65" customHeight="1">
      <c r="A199" s="30" t="n"/>
      <c r="B199" s="30" t="n"/>
      <c r="C199" s="30" t="n"/>
      <c r="D199" s="30" t="n"/>
      <c r="E199" s="30" t="n"/>
      <c r="F199" s="30" t="n"/>
      <c r="G199" s="30" t="n"/>
      <c r="H199" s="30" t="n"/>
      <c r="I199" s="30" t="n"/>
      <c r="J199" s="30" t="n"/>
      <c r="K199" s="30" t="n"/>
      <c r="L199" s="30" t="n"/>
      <c r="M199" s="30" t="n"/>
      <c r="N199" s="30" t="n"/>
      <c r="O199" s="31">
        <f>IF(A199="", "", IFERROR(INDEX(Dashboard!$A$13:$A$35, MATCH(A199, Dashboard!$B$13:$B$35, 0)), ""))</f>
        <v/>
      </c>
    </row>
    <row r="200" ht="65" customHeight="1">
      <c r="A200" s="30" t="n"/>
      <c r="B200" s="30" t="n"/>
      <c r="C200" s="30" t="n"/>
      <c r="D200" s="30" t="n"/>
      <c r="E200" s="30" t="n"/>
      <c r="F200" s="30" t="n"/>
      <c r="G200" s="30" t="n"/>
      <c r="H200" s="30" t="n"/>
      <c r="I200" s="30" t="n"/>
      <c r="J200" s="30" t="n"/>
      <c r="K200" s="30" t="n"/>
      <c r="L200" s="30" t="n"/>
      <c r="M200" s="30" t="n"/>
      <c r="N200" s="30" t="n"/>
      <c r="O200" s="31">
        <f>IF(A200="", "", IFERROR(INDEX(Dashboard!$A$13:$A$35, MATCH(A200, Dashboard!$B$13:$B$35, 0)), ""))</f>
        <v/>
      </c>
    </row>
    <row r="201" ht="65" customHeight="1">
      <c r="A201" s="30" t="n"/>
      <c r="B201" s="30" t="n"/>
      <c r="C201" s="30" t="n"/>
      <c r="D201" s="30" t="n"/>
      <c r="E201" s="30" t="n"/>
      <c r="F201" s="30" t="n"/>
      <c r="G201" s="30" t="n"/>
      <c r="H201" s="30" t="n"/>
      <c r="I201" s="30" t="n"/>
      <c r="J201" s="30" t="n"/>
      <c r="K201" s="30" t="n"/>
      <c r="L201" s="30" t="n"/>
      <c r="M201" s="30" t="n"/>
      <c r="N201" s="30" t="n"/>
      <c r="O201" s="31">
        <f>IF(A201="", "", IFERROR(INDEX(Dashboard!$A$13:$A$35, MATCH(A201, Dashboard!$B$13:$B$35, 0)), ""))</f>
        <v/>
      </c>
    </row>
    <row r="202" ht="65" customHeight="1">
      <c r="A202" s="30" t="n"/>
      <c r="B202" s="30" t="n"/>
      <c r="C202" s="30" t="n"/>
      <c r="D202" s="30" t="n"/>
      <c r="E202" s="30" t="n"/>
      <c r="F202" s="30" t="n"/>
      <c r="G202" s="30" t="n"/>
      <c r="H202" s="30" t="n"/>
      <c r="I202" s="30" t="n"/>
      <c r="J202" s="30" t="n"/>
      <c r="K202" s="30" t="n"/>
      <c r="L202" s="30" t="n"/>
      <c r="M202" s="30" t="n"/>
      <c r="N202" s="30" t="n"/>
      <c r="O202" s="31">
        <f>IF(A202="", "", IFERROR(INDEX(Dashboard!$A$13:$A$35, MATCH(A202, Dashboard!$B$13:$B$35, 0)), ""))</f>
        <v/>
      </c>
    </row>
    <row r="203" ht="65" customHeight="1">
      <c r="A203" s="30" t="n"/>
      <c r="B203" s="30" t="n"/>
      <c r="C203" s="30" t="n"/>
      <c r="D203" s="30" t="n"/>
      <c r="E203" s="30" t="n"/>
      <c r="F203" s="30" t="n"/>
      <c r="G203" s="30" t="n"/>
      <c r="H203" s="30" t="n"/>
      <c r="I203" s="30" t="n"/>
      <c r="J203" s="30" t="n"/>
      <c r="K203" s="30" t="n"/>
      <c r="L203" s="30" t="n"/>
      <c r="M203" s="30" t="n"/>
      <c r="N203" s="30" t="n"/>
      <c r="O203" s="31">
        <f>IF(A203="", "", IFERROR(INDEX(Dashboard!$A$13:$A$35, MATCH(A203, Dashboard!$B$13:$B$35, 0)), ""))</f>
        <v/>
      </c>
    </row>
    <row r="204" ht="65" customHeight="1">
      <c r="A204" s="30" t="n"/>
      <c r="B204" s="30" t="n"/>
      <c r="C204" s="30" t="n"/>
      <c r="D204" s="30" t="n"/>
      <c r="E204" s="30" t="n"/>
      <c r="F204" s="30" t="n"/>
      <c r="G204" s="30" t="n"/>
      <c r="H204" s="30" t="n"/>
      <c r="I204" s="30" t="n"/>
      <c r="J204" s="30" t="n"/>
      <c r="K204" s="30" t="n"/>
      <c r="L204" s="30" t="n"/>
      <c r="M204" s="30" t="n"/>
      <c r="N204" s="30" t="n"/>
      <c r="O204" s="31">
        <f>IF(A204="", "", IFERROR(INDEX(Dashboard!$A$13:$A$35, MATCH(A204, Dashboard!$B$13:$B$35, 0)), ""))</f>
        <v/>
      </c>
    </row>
    <row r="205" ht="65" customHeight="1">
      <c r="A205" s="30" t="n"/>
      <c r="B205" s="30" t="n"/>
      <c r="C205" s="30" t="n"/>
      <c r="D205" s="30" t="n"/>
      <c r="E205" s="30" t="n"/>
      <c r="F205" s="30" t="n"/>
      <c r="G205" s="30" t="n"/>
      <c r="H205" s="30" t="n"/>
      <c r="I205" s="30" t="n"/>
      <c r="J205" s="30" t="n"/>
      <c r="K205" s="30" t="n"/>
      <c r="L205" s="30" t="n"/>
      <c r="M205" s="30" t="n"/>
      <c r="N205" s="30" t="n"/>
      <c r="O205" s="31">
        <f>IF(A205="", "", IFERROR(INDEX(Dashboard!$A$13:$A$35, MATCH(A205, Dashboard!$B$13:$B$35, 0)), ""))</f>
        <v/>
      </c>
    </row>
    <row r="206" ht="65" customHeight="1">
      <c r="A206" s="30" t="n"/>
      <c r="B206" s="30" t="n"/>
      <c r="C206" s="30" t="n"/>
      <c r="D206" s="30" t="n"/>
      <c r="E206" s="30" t="n"/>
      <c r="F206" s="30" t="n"/>
      <c r="G206" s="30" t="n"/>
      <c r="H206" s="30" t="n"/>
      <c r="I206" s="30" t="n"/>
      <c r="J206" s="30" t="n"/>
      <c r="K206" s="30" t="n"/>
      <c r="L206" s="30" t="n"/>
      <c r="M206" s="30" t="n"/>
      <c r="N206" s="30" t="n"/>
      <c r="O206" s="31">
        <f>IF(A206="", "", IFERROR(INDEX(Dashboard!$A$13:$A$35, MATCH(A206, Dashboard!$B$13:$B$35, 0)), ""))</f>
        <v/>
      </c>
    </row>
    <row r="207" ht="65" customHeight="1">
      <c r="A207" s="30" t="n"/>
      <c r="B207" s="30" t="n"/>
      <c r="C207" s="30" t="n"/>
      <c r="D207" s="30" t="n"/>
      <c r="E207" s="30" t="n"/>
      <c r="F207" s="30" t="n"/>
      <c r="G207" s="30" t="n"/>
      <c r="H207" s="30" t="n"/>
      <c r="I207" s="30" t="n"/>
      <c r="J207" s="30" t="n"/>
      <c r="K207" s="30" t="n"/>
      <c r="L207" s="30" t="n"/>
      <c r="M207" s="30" t="n"/>
      <c r="N207" s="30" t="n"/>
      <c r="O207" s="31">
        <f>IF(A207="", "", IFERROR(INDEX(Dashboard!$A$13:$A$35, MATCH(A207, Dashboard!$B$13:$B$35, 0)), ""))</f>
        <v/>
      </c>
    </row>
    <row r="208" ht="65" customHeight="1">
      <c r="A208" s="30" t="n"/>
      <c r="B208" s="30" t="n"/>
      <c r="C208" s="30" t="n"/>
      <c r="D208" s="30" t="n"/>
      <c r="E208" s="30" t="n"/>
      <c r="F208" s="30" t="n"/>
      <c r="G208" s="30" t="n"/>
      <c r="H208" s="30" t="n"/>
      <c r="I208" s="30" t="n"/>
      <c r="J208" s="30" t="n"/>
      <c r="K208" s="30" t="n"/>
      <c r="L208" s="30" t="n"/>
      <c r="M208" s="30" t="n"/>
      <c r="N208" s="30" t="n"/>
      <c r="O208" s="31">
        <f>IF(A208="", "", IFERROR(INDEX(Dashboard!$A$13:$A$35, MATCH(A208, Dashboard!$B$13:$B$35, 0)), ""))</f>
        <v/>
      </c>
    </row>
    <row r="209" ht="65" customHeight="1">
      <c r="A209" s="30" t="n"/>
      <c r="B209" s="30" t="n"/>
      <c r="C209" s="30" t="n"/>
      <c r="D209" s="30" t="n"/>
      <c r="E209" s="30" t="n"/>
      <c r="F209" s="30" t="n"/>
      <c r="G209" s="30" t="n"/>
      <c r="H209" s="30" t="n"/>
      <c r="I209" s="30" t="n"/>
      <c r="J209" s="30" t="n"/>
      <c r="K209" s="30" t="n"/>
      <c r="L209" s="30" t="n"/>
      <c r="M209" s="30" t="n"/>
      <c r="N209" s="30" t="n"/>
      <c r="O209" s="31">
        <f>IF(A209="", "", IFERROR(INDEX(Dashboard!$A$13:$A$35, MATCH(A209, Dashboard!$B$13:$B$35, 0)), ""))</f>
        <v/>
      </c>
    </row>
    <row r="210" ht="65" customHeight="1">
      <c r="A210" s="30" t="n"/>
      <c r="B210" s="30" t="n"/>
      <c r="C210" s="30" t="n"/>
      <c r="D210" s="30" t="n"/>
      <c r="E210" s="30" t="n"/>
      <c r="F210" s="30" t="n"/>
      <c r="G210" s="30" t="n"/>
      <c r="H210" s="30" t="n"/>
      <c r="I210" s="30" t="n"/>
      <c r="J210" s="30" t="n"/>
      <c r="K210" s="30" t="n"/>
      <c r="L210" s="30" t="n"/>
      <c r="M210" s="30" t="n"/>
      <c r="N210" s="30" t="n"/>
      <c r="O210" s="31">
        <f>IF(A210="", "", IFERROR(INDEX(Dashboard!$A$13:$A$35, MATCH(A210, Dashboard!$B$13:$B$35, 0)), ""))</f>
        <v/>
      </c>
    </row>
    <row r="211" ht="65" customHeight="1">
      <c r="A211" s="30" t="n"/>
      <c r="B211" s="30" t="n"/>
      <c r="C211" s="30" t="n"/>
      <c r="D211" s="30" t="n"/>
      <c r="E211" s="30" t="n"/>
      <c r="F211" s="30" t="n"/>
      <c r="G211" s="30" t="n"/>
      <c r="H211" s="30" t="n"/>
      <c r="I211" s="30" t="n"/>
      <c r="J211" s="30" t="n"/>
      <c r="K211" s="30" t="n"/>
      <c r="L211" s="30" t="n"/>
      <c r="M211" s="30" t="n"/>
      <c r="N211" s="30" t="n"/>
      <c r="O211" s="31">
        <f>IF(A211="", "", IFERROR(INDEX(Dashboard!$A$13:$A$35, MATCH(A211, Dashboard!$B$13:$B$35, 0)), ""))</f>
        <v/>
      </c>
    </row>
    <row r="212" ht="65" customHeight="1">
      <c r="A212" s="30" t="n"/>
      <c r="B212" s="30" t="n"/>
      <c r="C212" s="30" t="n"/>
      <c r="D212" s="30" t="n"/>
      <c r="E212" s="30" t="n"/>
      <c r="F212" s="30" t="n"/>
      <c r="G212" s="30" t="n"/>
      <c r="H212" s="30" t="n"/>
      <c r="I212" s="30" t="n"/>
      <c r="J212" s="30" t="n"/>
      <c r="K212" s="30" t="n"/>
      <c r="L212" s="30" t="n"/>
      <c r="M212" s="30" t="n"/>
      <c r="N212" s="30" t="n"/>
      <c r="O212" s="31">
        <f>IF(A212="", "", IFERROR(INDEX(Dashboard!$A$13:$A$35, MATCH(A212, Dashboard!$B$13:$B$35, 0)), ""))</f>
        <v/>
      </c>
    </row>
    <row r="213" ht="65" customHeight="1">
      <c r="A213" s="30" t="n"/>
      <c r="B213" s="30" t="n"/>
      <c r="C213" s="30" t="n"/>
      <c r="D213" s="30" t="n"/>
      <c r="E213" s="30" t="n"/>
      <c r="F213" s="30" t="n"/>
      <c r="G213" s="30" t="n"/>
      <c r="H213" s="30" t="n"/>
      <c r="I213" s="30" t="n"/>
      <c r="J213" s="30" t="n"/>
      <c r="K213" s="30" t="n"/>
      <c r="L213" s="30" t="n"/>
      <c r="M213" s="30" t="n"/>
      <c r="N213" s="30" t="n"/>
      <c r="O213" s="31">
        <f>IF(A213="", "", IFERROR(INDEX(Dashboard!$A$13:$A$35, MATCH(A213, Dashboard!$B$13:$B$35, 0)), ""))</f>
        <v/>
      </c>
    </row>
    <row r="214" ht="65" customHeight="1">
      <c r="A214" s="30" t="n"/>
      <c r="B214" s="30" t="n"/>
      <c r="C214" s="30" t="n"/>
      <c r="D214" s="30" t="n"/>
      <c r="E214" s="30" t="n"/>
      <c r="F214" s="30" t="n"/>
      <c r="G214" s="30" t="n"/>
      <c r="H214" s="30" t="n"/>
      <c r="I214" s="30" t="n"/>
      <c r="J214" s="30" t="n"/>
      <c r="K214" s="30" t="n"/>
      <c r="L214" s="30" t="n"/>
      <c r="M214" s="30" t="n"/>
      <c r="N214" s="30" t="n"/>
      <c r="O214" s="31">
        <f>IF(A214="", "", IFERROR(INDEX(Dashboard!$A$13:$A$35, MATCH(A214, Dashboard!$B$13:$B$35, 0)), ""))</f>
        <v/>
      </c>
    </row>
    <row r="215" ht="65" customHeight="1">
      <c r="A215" s="30" t="n"/>
      <c r="B215" s="30" t="n"/>
      <c r="C215" s="30" t="n"/>
      <c r="D215" s="30" t="n"/>
      <c r="E215" s="30" t="n"/>
      <c r="F215" s="30" t="n"/>
      <c r="G215" s="30" t="n"/>
      <c r="H215" s="30" t="n"/>
      <c r="I215" s="30" t="n"/>
      <c r="J215" s="30" t="n"/>
      <c r="K215" s="30" t="n"/>
      <c r="L215" s="30" t="n"/>
      <c r="M215" s="30" t="n"/>
      <c r="N215" s="30" t="n"/>
      <c r="O215" s="31">
        <f>IF(A215="", "", IFERROR(INDEX(Dashboard!$A$13:$A$35, MATCH(A215, Dashboard!$B$13:$B$35, 0)), ""))</f>
        <v/>
      </c>
    </row>
    <row r="216" ht="65" customHeight="1">
      <c r="A216" s="30" t="n"/>
      <c r="B216" s="30" t="n"/>
      <c r="C216" s="30" t="n"/>
      <c r="D216" s="30" t="n"/>
      <c r="E216" s="30" t="n"/>
      <c r="F216" s="30" t="n"/>
      <c r="G216" s="30" t="n"/>
      <c r="H216" s="30" t="n"/>
      <c r="I216" s="30" t="n"/>
      <c r="J216" s="30" t="n"/>
      <c r="K216" s="30" t="n"/>
      <c r="L216" s="30" t="n"/>
      <c r="M216" s="30" t="n"/>
      <c r="N216" s="30" t="n"/>
      <c r="O216" s="31">
        <f>IF(A216="", "", IFERROR(INDEX(Dashboard!$A$13:$A$35, MATCH(A216, Dashboard!$B$13:$B$35, 0)), ""))</f>
        <v/>
      </c>
    </row>
    <row r="217" ht="65" customHeight="1">
      <c r="A217" s="30" t="n"/>
      <c r="B217" s="30" t="n"/>
      <c r="C217" s="30" t="n"/>
      <c r="D217" s="30" t="n"/>
      <c r="E217" s="30" t="n"/>
      <c r="F217" s="30" t="n"/>
      <c r="G217" s="30" t="n"/>
      <c r="H217" s="30" t="n"/>
      <c r="I217" s="30" t="n"/>
      <c r="J217" s="30" t="n"/>
      <c r="K217" s="30" t="n"/>
      <c r="L217" s="30" t="n"/>
      <c r="M217" s="30" t="n"/>
      <c r="N217" s="30" t="n"/>
      <c r="O217" s="31">
        <f>IF(A217="", "", IFERROR(INDEX(Dashboard!$A$13:$A$35, MATCH(A217, Dashboard!$B$13:$B$35, 0)), ""))</f>
        <v/>
      </c>
    </row>
    <row r="218" ht="65" customHeight="1">
      <c r="A218" s="30" t="n"/>
      <c r="B218" s="30" t="n"/>
      <c r="C218" s="30" t="n"/>
      <c r="D218" s="30" t="n"/>
      <c r="E218" s="30" t="n"/>
      <c r="F218" s="30" t="n"/>
      <c r="G218" s="30" t="n"/>
      <c r="H218" s="30" t="n"/>
      <c r="I218" s="30" t="n"/>
      <c r="J218" s="30" t="n"/>
      <c r="K218" s="30" t="n"/>
      <c r="L218" s="30" t="n"/>
      <c r="M218" s="30" t="n"/>
      <c r="N218" s="30" t="n"/>
      <c r="O218" s="31">
        <f>IF(A218="", "", IFERROR(INDEX(Dashboard!$A$13:$A$35, MATCH(A218, Dashboard!$B$13:$B$35, 0)), ""))</f>
        <v/>
      </c>
    </row>
    <row r="219" ht="65" customHeight="1">
      <c r="A219" s="30" t="n"/>
      <c r="B219" s="30" t="n"/>
      <c r="C219" s="30" t="n"/>
      <c r="D219" s="30" t="n"/>
      <c r="E219" s="30" t="n"/>
      <c r="F219" s="30" t="n"/>
      <c r="G219" s="30" t="n"/>
      <c r="H219" s="30" t="n"/>
      <c r="I219" s="30" t="n"/>
      <c r="J219" s="30" t="n"/>
      <c r="K219" s="30" t="n"/>
      <c r="L219" s="30" t="n"/>
      <c r="M219" s="30" t="n"/>
      <c r="N219" s="30" t="n"/>
      <c r="O219" s="31">
        <f>IF(A219="", "", IFERROR(INDEX(Dashboard!$A$13:$A$35, MATCH(A219, Dashboard!$B$13:$B$35, 0)), ""))</f>
        <v/>
      </c>
    </row>
    <row r="220" ht="65" customHeight="1">
      <c r="A220" s="30" t="n"/>
      <c r="B220" s="30" t="n"/>
      <c r="C220" s="30" t="n"/>
      <c r="D220" s="30" t="n"/>
      <c r="E220" s="30" t="n"/>
      <c r="F220" s="30" t="n"/>
      <c r="G220" s="30" t="n"/>
      <c r="H220" s="30" t="n"/>
      <c r="I220" s="30" t="n"/>
      <c r="J220" s="30" t="n"/>
      <c r="K220" s="30" t="n"/>
      <c r="L220" s="30" t="n"/>
      <c r="M220" s="30" t="n"/>
      <c r="N220" s="30" t="n"/>
      <c r="O220" s="31">
        <f>IF(A220="", "", IFERROR(INDEX(Dashboard!$A$13:$A$35, MATCH(A220, Dashboard!$B$13:$B$35, 0)), ""))</f>
        <v/>
      </c>
    </row>
    <row r="221" ht="65" customHeight="1">
      <c r="A221" s="30" t="n"/>
      <c r="B221" s="30" t="n"/>
      <c r="C221" s="30" t="n"/>
      <c r="D221" s="30" t="n"/>
      <c r="E221" s="30" t="n"/>
      <c r="F221" s="30" t="n"/>
      <c r="G221" s="30" t="n"/>
      <c r="H221" s="30" t="n"/>
      <c r="I221" s="30" t="n"/>
      <c r="J221" s="30" t="n"/>
      <c r="K221" s="30" t="n"/>
      <c r="L221" s="30" t="n"/>
      <c r="M221" s="30" t="n"/>
      <c r="N221" s="30" t="n"/>
      <c r="O221" s="31">
        <f>IF(A221="", "", IFERROR(INDEX(Dashboard!$A$13:$A$35, MATCH(A221, Dashboard!$B$13:$B$35, 0)), ""))</f>
        <v/>
      </c>
    </row>
    <row r="222" ht="65" customHeight="1">
      <c r="A222" s="30" t="n"/>
      <c r="B222" s="30" t="n"/>
      <c r="C222" s="30" t="n"/>
      <c r="D222" s="30" t="n"/>
      <c r="E222" s="30" t="n"/>
      <c r="F222" s="30" t="n"/>
      <c r="G222" s="30" t="n"/>
      <c r="H222" s="30" t="n"/>
      <c r="I222" s="30" t="n"/>
      <c r="J222" s="30" t="n"/>
      <c r="K222" s="30" t="n"/>
      <c r="L222" s="30" t="n"/>
      <c r="M222" s="30" t="n"/>
      <c r="N222" s="30" t="n"/>
      <c r="O222" s="31">
        <f>IF(A222="", "", IFERROR(INDEX(Dashboard!$A$13:$A$35, MATCH(A222, Dashboard!$B$13:$B$35, 0)), ""))</f>
        <v/>
      </c>
    </row>
    <row r="223" ht="65" customHeight="1">
      <c r="A223" s="30" t="n"/>
      <c r="B223" s="30" t="n"/>
      <c r="C223" s="30" t="n"/>
      <c r="D223" s="30" t="n"/>
      <c r="E223" s="30" t="n"/>
      <c r="F223" s="30" t="n"/>
      <c r="G223" s="30" t="n"/>
      <c r="H223" s="30" t="n"/>
      <c r="I223" s="30" t="n"/>
      <c r="J223" s="30" t="n"/>
      <c r="K223" s="30" t="n"/>
      <c r="L223" s="30" t="n"/>
      <c r="M223" s="30" t="n"/>
      <c r="N223" s="30" t="n"/>
      <c r="O223" s="31">
        <f>IF(A223="", "", IFERROR(INDEX(Dashboard!$A$13:$A$35, MATCH(A223, Dashboard!$B$13:$B$35, 0)), ""))</f>
        <v/>
      </c>
    </row>
    <row r="224" ht="65" customHeight="1">
      <c r="A224" s="30" t="n"/>
      <c r="B224" s="30" t="n"/>
      <c r="C224" s="30" t="n"/>
      <c r="D224" s="30" t="n"/>
      <c r="E224" s="30" t="n"/>
      <c r="F224" s="30" t="n"/>
      <c r="G224" s="30" t="n"/>
      <c r="H224" s="30" t="n"/>
      <c r="I224" s="30" t="n"/>
      <c r="J224" s="30" t="n"/>
      <c r="K224" s="30" t="n"/>
      <c r="L224" s="30" t="n"/>
      <c r="M224" s="30" t="n"/>
      <c r="N224" s="30" t="n"/>
      <c r="O224" s="31">
        <f>IF(A224="", "", IFERROR(INDEX(Dashboard!$A$13:$A$35, MATCH(A224, Dashboard!$B$13:$B$35, 0)), ""))</f>
        <v/>
      </c>
    </row>
    <row r="225" ht="65" customHeight="1">
      <c r="A225" s="30" t="n"/>
      <c r="B225" s="30" t="n"/>
      <c r="C225" s="30" t="n"/>
      <c r="D225" s="30" t="n"/>
      <c r="E225" s="30" t="n"/>
      <c r="F225" s="30" t="n"/>
      <c r="G225" s="30" t="n"/>
      <c r="H225" s="30" t="n"/>
      <c r="I225" s="30" t="n"/>
      <c r="J225" s="30" t="n"/>
      <c r="K225" s="30" t="n"/>
      <c r="L225" s="30" t="n"/>
      <c r="M225" s="30" t="n"/>
      <c r="N225" s="30" t="n"/>
      <c r="O225" s="31">
        <f>IF(A225="", "", IFERROR(INDEX(Dashboard!$A$13:$A$35, MATCH(A225, Dashboard!$B$13:$B$35, 0)), ""))</f>
        <v/>
      </c>
    </row>
    <row r="226" ht="65" customHeight="1">
      <c r="A226" s="30" t="n"/>
      <c r="B226" s="30" t="n"/>
      <c r="C226" s="30" t="n"/>
      <c r="D226" s="30" t="n"/>
      <c r="E226" s="30" t="n"/>
      <c r="F226" s="30" t="n"/>
      <c r="G226" s="30" t="n"/>
      <c r="H226" s="30" t="n"/>
      <c r="I226" s="30" t="n"/>
      <c r="J226" s="30" t="n"/>
      <c r="K226" s="30" t="n"/>
      <c r="L226" s="30" t="n"/>
      <c r="M226" s="30" t="n"/>
      <c r="N226" s="30" t="n"/>
      <c r="O226" s="31">
        <f>IF(A226="", "", IFERROR(INDEX(Dashboard!$A$13:$A$35, MATCH(A226, Dashboard!$B$13:$B$35, 0)), ""))</f>
        <v/>
      </c>
    </row>
    <row r="227" ht="65" customHeight="1">
      <c r="A227" s="30" t="n"/>
      <c r="B227" s="30" t="n"/>
      <c r="C227" s="30" t="n"/>
      <c r="D227" s="30" t="n"/>
      <c r="E227" s="30" t="n"/>
      <c r="F227" s="30" t="n"/>
      <c r="G227" s="30" t="n"/>
      <c r="H227" s="30" t="n"/>
      <c r="I227" s="30" t="n"/>
      <c r="J227" s="30" t="n"/>
      <c r="K227" s="30" t="n"/>
      <c r="L227" s="30" t="n"/>
      <c r="M227" s="30" t="n"/>
      <c r="N227" s="30" t="n"/>
      <c r="O227" s="31">
        <f>IF(A227="", "", IFERROR(INDEX(Dashboard!$A$13:$A$35, MATCH(A227, Dashboard!$B$13:$B$35, 0)), ""))</f>
        <v/>
      </c>
    </row>
    <row r="228" ht="65" customHeight="1">
      <c r="A228" s="30" t="n"/>
      <c r="B228" s="30" t="n"/>
      <c r="C228" s="30" t="n"/>
      <c r="D228" s="30" t="n"/>
      <c r="E228" s="30" t="n"/>
      <c r="F228" s="30" t="n"/>
      <c r="G228" s="30" t="n"/>
      <c r="H228" s="30" t="n"/>
      <c r="I228" s="30" t="n"/>
      <c r="J228" s="30" t="n"/>
      <c r="K228" s="30" t="n"/>
      <c r="L228" s="30" t="n"/>
      <c r="M228" s="30" t="n"/>
      <c r="N228" s="30" t="n"/>
      <c r="O228" s="31">
        <f>IF(A228="", "", IFERROR(INDEX(Dashboard!$A$13:$A$35, MATCH(A228, Dashboard!$B$13:$B$35, 0)), ""))</f>
        <v/>
      </c>
    </row>
    <row r="229" ht="65" customHeight="1">
      <c r="A229" s="30" t="n"/>
      <c r="B229" s="30" t="n"/>
      <c r="C229" s="30" t="n"/>
      <c r="D229" s="30" t="n"/>
      <c r="E229" s="30" t="n"/>
      <c r="F229" s="30" t="n"/>
      <c r="G229" s="30" t="n"/>
      <c r="H229" s="30" t="n"/>
      <c r="I229" s="30" t="n"/>
      <c r="J229" s="30" t="n"/>
      <c r="K229" s="30" t="n"/>
      <c r="L229" s="30" t="n"/>
      <c r="M229" s="30" t="n"/>
      <c r="N229" s="30" t="n"/>
      <c r="O229" s="31">
        <f>IF(A229="", "", IFERROR(INDEX(Dashboard!$A$13:$A$35, MATCH(A229, Dashboard!$B$13:$B$35, 0)), ""))</f>
        <v/>
      </c>
    </row>
    <row r="230" ht="65" customHeight="1">
      <c r="A230" s="30" t="n"/>
      <c r="B230" s="30" t="n"/>
      <c r="C230" s="30" t="n"/>
      <c r="D230" s="30" t="n"/>
      <c r="E230" s="30" t="n"/>
      <c r="F230" s="30" t="n"/>
      <c r="G230" s="30" t="n"/>
      <c r="H230" s="30" t="n"/>
      <c r="I230" s="30" t="n"/>
      <c r="J230" s="30" t="n"/>
      <c r="K230" s="30" t="n"/>
      <c r="L230" s="30" t="n"/>
      <c r="M230" s="30" t="n"/>
      <c r="N230" s="30" t="n"/>
      <c r="O230" s="31">
        <f>IF(A230="", "", IFERROR(INDEX(Dashboard!$A$13:$A$35, MATCH(A230, Dashboard!$B$13:$B$35, 0)), ""))</f>
        <v/>
      </c>
    </row>
    <row r="231" ht="65" customHeight="1">
      <c r="A231" s="30" t="n"/>
      <c r="B231" s="30" t="n"/>
      <c r="C231" s="30" t="n"/>
      <c r="D231" s="30" t="n"/>
      <c r="E231" s="30" t="n"/>
      <c r="F231" s="30" t="n"/>
      <c r="G231" s="30" t="n"/>
      <c r="H231" s="30" t="n"/>
      <c r="I231" s="30" t="n"/>
      <c r="J231" s="30" t="n"/>
      <c r="K231" s="30" t="n"/>
      <c r="L231" s="30" t="n"/>
      <c r="M231" s="30" t="n"/>
      <c r="N231" s="30" t="n"/>
      <c r="O231" s="31">
        <f>IF(A231="", "", IFERROR(INDEX(Dashboard!$A$13:$A$35, MATCH(A231, Dashboard!$B$13:$B$35, 0)), ""))</f>
        <v/>
      </c>
    </row>
    <row r="232" ht="65" customHeight="1">
      <c r="A232" s="30" t="n"/>
      <c r="B232" s="30" t="n"/>
      <c r="C232" s="30" t="n"/>
      <c r="D232" s="30" t="n"/>
      <c r="E232" s="30" t="n"/>
      <c r="F232" s="30" t="n"/>
      <c r="G232" s="30" t="n"/>
      <c r="H232" s="30" t="n"/>
      <c r="I232" s="30" t="n"/>
      <c r="J232" s="30" t="n"/>
      <c r="K232" s="30" t="n"/>
      <c r="L232" s="30" t="n"/>
      <c r="M232" s="30" t="n"/>
      <c r="N232" s="30" t="n"/>
      <c r="O232" s="31">
        <f>IF(A232="", "", IFERROR(INDEX(Dashboard!$A$13:$A$35, MATCH(A232, Dashboard!$B$13:$B$35, 0)), ""))</f>
        <v/>
      </c>
    </row>
    <row r="233" ht="65" customHeight="1">
      <c r="A233" s="30" t="n"/>
      <c r="B233" s="30" t="n"/>
      <c r="C233" s="30" t="n"/>
      <c r="D233" s="30" t="n"/>
      <c r="E233" s="30" t="n"/>
      <c r="F233" s="30" t="n"/>
      <c r="G233" s="30" t="n"/>
      <c r="H233" s="30" t="n"/>
      <c r="I233" s="30" t="n"/>
      <c r="J233" s="30" t="n"/>
      <c r="K233" s="30" t="n"/>
      <c r="L233" s="30" t="n"/>
      <c r="M233" s="30" t="n"/>
      <c r="N233" s="30" t="n"/>
      <c r="O233" s="31">
        <f>IF(A233="", "", IFERROR(INDEX(Dashboard!$A$13:$A$35, MATCH(A233, Dashboard!$B$13:$B$35, 0)), ""))</f>
        <v/>
      </c>
    </row>
    <row r="234" ht="65" customHeight="1">
      <c r="A234" s="30" t="n"/>
      <c r="B234" s="30" t="n"/>
      <c r="C234" s="30" t="n"/>
      <c r="D234" s="30" t="n"/>
      <c r="E234" s="30" t="n"/>
      <c r="F234" s="30" t="n"/>
      <c r="G234" s="30" t="n"/>
      <c r="H234" s="30" t="n"/>
      <c r="I234" s="30" t="n"/>
      <c r="J234" s="30" t="n"/>
      <c r="K234" s="30" t="n"/>
      <c r="L234" s="30" t="n"/>
      <c r="M234" s="30" t="n"/>
      <c r="N234" s="30" t="n"/>
      <c r="O234" s="31">
        <f>IF(A234="", "", IFERROR(INDEX(Dashboard!$A$13:$A$35, MATCH(A234, Dashboard!$B$13:$B$35, 0)), ""))</f>
        <v/>
      </c>
    </row>
    <row r="235" ht="65" customHeight="1">
      <c r="A235" s="30" t="n"/>
      <c r="B235" s="30" t="n"/>
      <c r="C235" s="30" t="n"/>
      <c r="D235" s="30" t="n"/>
      <c r="E235" s="30" t="n"/>
      <c r="F235" s="30" t="n"/>
      <c r="G235" s="30" t="n"/>
      <c r="H235" s="30" t="n"/>
      <c r="I235" s="30" t="n"/>
      <c r="J235" s="30" t="n"/>
      <c r="K235" s="30" t="n"/>
      <c r="L235" s="30" t="n"/>
      <c r="M235" s="30" t="n"/>
      <c r="N235" s="30" t="n"/>
      <c r="O235" s="31">
        <f>IF(A235="", "", IFERROR(INDEX(Dashboard!$A$13:$A$35, MATCH(A235, Dashboard!$B$13:$B$35, 0)), ""))</f>
        <v/>
      </c>
    </row>
    <row r="236" ht="65" customHeight="1">
      <c r="A236" s="30" t="n"/>
      <c r="B236" s="30" t="n"/>
      <c r="C236" s="30" t="n"/>
      <c r="D236" s="30" t="n"/>
      <c r="E236" s="30" t="n"/>
      <c r="F236" s="30" t="n"/>
      <c r="G236" s="30" t="n"/>
      <c r="H236" s="30" t="n"/>
      <c r="I236" s="30" t="n"/>
      <c r="J236" s="30" t="n"/>
      <c r="K236" s="30" t="n"/>
      <c r="L236" s="30" t="n"/>
      <c r="M236" s="30" t="n"/>
      <c r="N236" s="30" t="n"/>
      <c r="O236" s="31">
        <f>IF(A236="", "", IFERROR(INDEX(Dashboard!$A$13:$A$35, MATCH(A236, Dashboard!$B$13:$B$35, 0)), ""))</f>
        <v/>
      </c>
    </row>
    <row r="237" ht="65" customHeight="1">
      <c r="A237" s="30" t="n"/>
      <c r="B237" s="30" t="n"/>
      <c r="C237" s="30" t="n"/>
      <c r="D237" s="30" t="n"/>
      <c r="E237" s="30" t="n"/>
      <c r="F237" s="30" t="n"/>
      <c r="G237" s="30" t="n"/>
      <c r="H237" s="30" t="n"/>
      <c r="I237" s="30" t="n"/>
      <c r="J237" s="30" t="n"/>
      <c r="K237" s="30" t="n"/>
      <c r="L237" s="30" t="n"/>
      <c r="M237" s="30" t="n"/>
      <c r="N237" s="30" t="n"/>
      <c r="O237" s="31">
        <f>IF(A237="", "", IFERROR(INDEX(Dashboard!$A$13:$A$35, MATCH(A237, Dashboard!$B$13:$B$35, 0)), ""))</f>
        <v/>
      </c>
    </row>
    <row r="238" ht="65" customHeight="1">
      <c r="A238" s="30" t="n"/>
      <c r="B238" s="30" t="n"/>
      <c r="C238" s="30" t="n"/>
      <c r="D238" s="30" t="n"/>
      <c r="E238" s="30" t="n"/>
      <c r="F238" s="30" t="n"/>
      <c r="G238" s="30" t="n"/>
      <c r="H238" s="30" t="n"/>
      <c r="I238" s="30" t="n"/>
      <c r="J238" s="30" t="n"/>
      <c r="K238" s="30" t="n"/>
      <c r="L238" s="30" t="n"/>
      <c r="M238" s="30" t="n"/>
      <c r="N238" s="30" t="n"/>
      <c r="O238" s="31">
        <f>IF(A238="", "", IFERROR(INDEX(Dashboard!$A$13:$A$35, MATCH(A238, Dashboard!$B$13:$B$35, 0)), ""))</f>
        <v/>
      </c>
    </row>
    <row r="239" ht="65" customHeight="1">
      <c r="A239" s="30" t="n"/>
      <c r="B239" s="30" t="n"/>
      <c r="C239" s="30" t="n"/>
      <c r="D239" s="30" t="n"/>
      <c r="E239" s="30" t="n"/>
      <c r="F239" s="30" t="n"/>
      <c r="G239" s="30" t="n"/>
      <c r="H239" s="30" t="n"/>
      <c r="I239" s="30" t="n"/>
      <c r="J239" s="30" t="n"/>
      <c r="K239" s="30" t="n"/>
      <c r="L239" s="30" t="n"/>
      <c r="M239" s="30" t="n"/>
      <c r="N239" s="30" t="n"/>
      <c r="O239" s="31">
        <f>IF(A239="", "", IFERROR(INDEX(Dashboard!$A$13:$A$35, MATCH(A239, Dashboard!$B$13:$B$35, 0)), ""))</f>
        <v/>
      </c>
    </row>
    <row r="240" ht="65" customHeight="1">
      <c r="A240" s="30" t="n"/>
      <c r="B240" s="30" t="n"/>
      <c r="C240" s="30" t="n"/>
      <c r="D240" s="30" t="n"/>
      <c r="E240" s="30" t="n"/>
      <c r="F240" s="30" t="n"/>
      <c r="G240" s="30" t="n"/>
      <c r="H240" s="30" t="n"/>
      <c r="I240" s="30" t="n"/>
      <c r="J240" s="30" t="n"/>
      <c r="K240" s="30" t="n"/>
      <c r="L240" s="30" t="n"/>
      <c r="M240" s="30" t="n"/>
      <c r="N240" s="30" t="n"/>
      <c r="O240" s="31">
        <f>IF(A240="", "", IFERROR(INDEX(Dashboard!$A$13:$A$35, MATCH(A240, Dashboard!$B$13:$B$35, 0)), ""))</f>
        <v/>
      </c>
    </row>
    <row r="241" ht="65" customHeight="1">
      <c r="A241" s="30" t="n"/>
      <c r="B241" s="30" t="n"/>
      <c r="C241" s="30" t="n"/>
      <c r="D241" s="30" t="n"/>
      <c r="E241" s="30" t="n"/>
      <c r="F241" s="30" t="n"/>
      <c r="G241" s="30" t="n"/>
      <c r="H241" s="30" t="n"/>
      <c r="I241" s="30" t="n"/>
      <c r="J241" s="30" t="n"/>
      <c r="K241" s="30" t="n"/>
      <c r="L241" s="30" t="n"/>
      <c r="M241" s="30" t="n"/>
      <c r="N241" s="30" t="n"/>
      <c r="O241" s="31">
        <f>IF(A241="", "", IFERROR(INDEX(Dashboard!$A$13:$A$35, MATCH(A241, Dashboard!$B$13:$B$35, 0)), ""))</f>
        <v/>
      </c>
    </row>
    <row r="242" ht="65" customHeight="1">
      <c r="A242" s="30" t="n"/>
      <c r="B242" s="30" t="n"/>
      <c r="C242" s="30" t="n"/>
      <c r="D242" s="30" t="n"/>
      <c r="E242" s="30" t="n"/>
      <c r="F242" s="30" t="n"/>
      <c r="G242" s="30" t="n"/>
      <c r="H242" s="30" t="n"/>
      <c r="I242" s="30" t="n"/>
      <c r="J242" s="30" t="n"/>
      <c r="K242" s="30" t="n"/>
      <c r="L242" s="30" t="n"/>
      <c r="M242" s="30" t="n"/>
      <c r="N242" s="30" t="n"/>
      <c r="O242" s="31">
        <f>IF(A242="", "", IFERROR(INDEX(Dashboard!$A$13:$A$35, MATCH(A242, Dashboard!$B$13:$B$35, 0)), ""))</f>
        <v/>
      </c>
    </row>
    <row r="243" ht="65" customHeight="1">
      <c r="A243" s="30" t="n"/>
      <c r="B243" s="30" t="n"/>
      <c r="C243" s="30" t="n"/>
      <c r="D243" s="30" t="n"/>
      <c r="E243" s="30" t="n"/>
      <c r="F243" s="30" t="n"/>
      <c r="G243" s="30" t="n"/>
      <c r="H243" s="30" t="n"/>
      <c r="I243" s="30" t="n"/>
      <c r="J243" s="30" t="n"/>
      <c r="K243" s="30" t="n"/>
      <c r="L243" s="30" t="n"/>
      <c r="M243" s="30" t="n"/>
      <c r="N243" s="30" t="n"/>
      <c r="O243" s="31">
        <f>IF(A243="", "", IFERROR(INDEX(Dashboard!$A$13:$A$35, MATCH(A243, Dashboard!$B$13:$B$35, 0)), ""))</f>
        <v/>
      </c>
    </row>
    <row r="244" ht="65" customHeight="1">
      <c r="A244" s="30" t="n"/>
      <c r="B244" s="30" t="n"/>
      <c r="C244" s="30" t="n"/>
      <c r="D244" s="30" t="n"/>
      <c r="E244" s="30" t="n"/>
      <c r="F244" s="30" t="n"/>
      <c r="G244" s="30" t="n"/>
      <c r="H244" s="30" t="n"/>
      <c r="I244" s="30" t="n"/>
      <c r="J244" s="30" t="n"/>
      <c r="K244" s="30" t="n"/>
      <c r="L244" s="30" t="n"/>
      <c r="M244" s="30" t="n"/>
      <c r="N244" s="30" t="n"/>
      <c r="O244" s="31">
        <f>IF(A244="", "", IFERROR(INDEX(Dashboard!$A$13:$A$35, MATCH(A244, Dashboard!$B$13:$B$35, 0)), ""))</f>
        <v/>
      </c>
    </row>
    <row r="245" ht="65" customHeight="1">
      <c r="A245" s="30" t="n"/>
      <c r="B245" s="30" t="n"/>
      <c r="C245" s="30" t="n"/>
      <c r="D245" s="30" t="n"/>
      <c r="E245" s="30" t="n"/>
      <c r="F245" s="30" t="n"/>
      <c r="G245" s="30" t="n"/>
      <c r="H245" s="30" t="n"/>
      <c r="I245" s="30" t="n"/>
      <c r="J245" s="30" t="n"/>
      <c r="K245" s="30" t="n"/>
      <c r="L245" s="30" t="n"/>
      <c r="M245" s="30" t="n"/>
      <c r="N245" s="30" t="n"/>
      <c r="O245" s="31">
        <f>IF(A245="", "", IFERROR(INDEX(Dashboard!$A$13:$A$35, MATCH(A245, Dashboard!$B$13:$B$35, 0)), ""))</f>
        <v/>
      </c>
    </row>
    <row r="246" ht="65" customHeight="1">
      <c r="A246" s="30" t="n"/>
      <c r="B246" s="30" t="n"/>
      <c r="C246" s="30" t="n"/>
      <c r="D246" s="30" t="n"/>
      <c r="E246" s="30" t="n"/>
      <c r="F246" s="30" t="n"/>
      <c r="G246" s="30" t="n"/>
      <c r="H246" s="30" t="n"/>
      <c r="I246" s="30" t="n"/>
      <c r="J246" s="30" t="n"/>
      <c r="K246" s="30" t="n"/>
      <c r="L246" s="30" t="n"/>
      <c r="M246" s="30" t="n"/>
      <c r="N246" s="30" t="n"/>
      <c r="O246" s="31">
        <f>IF(A246="", "", IFERROR(INDEX(Dashboard!$A$13:$A$35, MATCH(A246, Dashboard!$B$13:$B$35, 0)), ""))</f>
        <v/>
      </c>
    </row>
    <row r="247" ht="65" customHeight="1">
      <c r="A247" s="30" t="n"/>
      <c r="B247" s="30" t="n"/>
      <c r="C247" s="30" t="n"/>
      <c r="D247" s="30" t="n"/>
      <c r="E247" s="30" t="n"/>
      <c r="F247" s="30" t="n"/>
      <c r="G247" s="30" t="n"/>
      <c r="H247" s="30" t="n"/>
      <c r="I247" s="30" t="n"/>
      <c r="J247" s="30" t="n"/>
      <c r="K247" s="30" t="n"/>
      <c r="L247" s="30" t="n"/>
      <c r="M247" s="30" t="n"/>
      <c r="N247" s="30" t="n"/>
      <c r="O247" s="31">
        <f>IF(A247="", "", IFERROR(INDEX(Dashboard!$A$13:$A$35, MATCH(A247, Dashboard!$B$13:$B$35, 0)), ""))</f>
        <v/>
      </c>
    </row>
    <row r="248" ht="65" customHeight="1">
      <c r="A248" s="30" t="n"/>
      <c r="B248" s="30" t="n"/>
      <c r="C248" s="30" t="n"/>
      <c r="D248" s="30" t="n"/>
      <c r="E248" s="30" t="n"/>
      <c r="F248" s="30" t="n"/>
      <c r="G248" s="30" t="n"/>
      <c r="H248" s="30" t="n"/>
      <c r="I248" s="30" t="n"/>
      <c r="J248" s="30" t="n"/>
      <c r="K248" s="30" t="n"/>
      <c r="L248" s="30" t="n"/>
      <c r="M248" s="30" t="n"/>
      <c r="N248" s="30" t="n"/>
      <c r="O248" s="31">
        <f>IF(A248="", "", IFERROR(INDEX(Dashboard!$A$13:$A$35, MATCH(A248, Dashboard!$B$13:$B$35, 0)), ""))</f>
        <v/>
      </c>
    </row>
    <row r="249" ht="65" customHeight="1">
      <c r="A249" s="30" t="n"/>
      <c r="B249" s="30" t="n"/>
      <c r="C249" s="30" t="n"/>
      <c r="D249" s="30" t="n"/>
      <c r="E249" s="30" t="n"/>
      <c r="F249" s="30" t="n"/>
      <c r="G249" s="30" t="n"/>
      <c r="H249" s="30" t="n"/>
      <c r="I249" s="30" t="n"/>
      <c r="J249" s="30" t="n"/>
      <c r="K249" s="30" t="n"/>
      <c r="L249" s="30" t="n"/>
      <c r="M249" s="30" t="n"/>
      <c r="N249" s="30" t="n"/>
      <c r="O249" s="31">
        <f>IF(A249="", "", IFERROR(INDEX(Dashboard!$A$13:$A$35, MATCH(A249, Dashboard!$B$13:$B$35, 0)), ""))</f>
        <v/>
      </c>
    </row>
    <row r="250" ht="65" customHeight="1">
      <c r="A250" s="30" t="n"/>
      <c r="B250" s="30" t="n"/>
      <c r="C250" s="30" t="n"/>
      <c r="D250" s="30" t="n"/>
      <c r="E250" s="30" t="n"/>
      <c r="F250" s="30" t="n"/>
      <c r="G250" s="30" t="n"/>
      <c r="H250" s="30" t="n"/>
      <c r="I250" s="30" t="n"/>
      <c r="J250" s="30" t="n"/>
      <c r="K250" s="30" t="n"/>
      <c r="L250" s="30" t="n"/>
      <c r="M250" s="30" t="n"/>
      <c r="N250" s="30" t="n"/>
      <c r="O250" s="31">
        <f>IF(A250="", "", IFERROR(INDEX(Dashboard!$A$13:$A$35, MATCH(A250, Dashboard!$B$13:$B$35, 0)), ""))</f>
        <v/>
      </c>
    </row>
    <row r="251" ht="65" customHeight="1">
      <c r="A251" s="30" t="n"/>
      <c r="B251" s="30" t="n"/>
      <c r="C251" s="30" t="n"/>
      <c r="D251" s="30" t="n"/>
      <c r="E251" s="30" t="n"/>
      <c r="F251" s="30" t="n"/>
      <c r="G251" s="30" t="n"/>
      <c r="H251" s="30" t="n"/>
      <c r="I251" s="30" t="n"/>
      <c r="J251" s="30" t="n"/>
      <c r="K251" s="30" t="n"/>
      <c r="L251" s="30" t="n"/>
      <c r="M251" s="30" t="n"/>
      <c r="N251" s="30" t="n"/>
      <c r="O251" s="31">
        <f>IF(A251="", "", IFERROR(INDEX(Dashboard!$A$13:$A$35, MATCH(A251, Dashboard!$B$13:$B$35, 0)), ""))</f>
        <v/>
      </c>
    </row>
    <row r="252" ht="65" customHeight="1">
      <c r="A252" s="30" t="n"/>
      <c r="B252" s="30" t="n"/>
      <c r="C252" s="30" t="n"/>
      <c r="D252" s="30" t="n"/>
      <c r="E252" s="30" t="n"/>
      <c r="F252" s="30" t="n"/>
      <c r="G252" s="30" t="n"/>
      <c r="H252" s="30" t="n"/>
      <c r="I252" s="30" t="n"/>
      <c r="J252" s="30" t="n"/>
      <c r="K252" s="30" t="n"/>
      <c r="L252" s="30" t="n"/>
      <c r="M252" s="30" t="n"/>
      <c r="N252" s="30" t="n"/>
      <c r="O252" s="31">
        <f>IF(A252="", "", IFERROR(INDEX(Dashboard!$A$13:$A$35, MATCH(A252, Dashboard!$B$13:$B$35, 0)), ""))</f>
        <v/>
      </c>
    </row>
    <row r="253" ht="65" customHeight="1">
      <c r="A253" s="30" t="n"/>
      <c r="B253" s="30" t="n"/>
      <c r="C253" s="30" t="n"/>
      <c r="D253" s="30" t="n"/>
      <c r="E253" s="30" t="n"/>
      <c r="F253" s="30" t="n"/>
      <c r="G253" s="30" t="n"/>
      <c r="H253" s="30" t="n"/>
      <c r="I253" s="30" t="n"/>
      <c r="J253" s="30" t="n"/>
      <c r="K253" s="30" t="n"/>
      <c r="L253" s="30" t="n"/>
      <c r="M253" s="30" t="n"/>
      <c r="N253" s="30" t="n"/>
      <c r="O253" s="31">
        <f>IF(A253="", "", IFERROR(INDEX(Dashboard!$A$13:$A$35, MATCH(A253, Dashboard!$B$13:$B$35, 0)), ""))</f>
        <v/>
      </c>
    </row>
    <row r="254" ht="65" customHeight="1">
      <c r="A254" s="30" t="n"/>
      <c r="B254" s="30" t="n"/>
      <c r="C254" s="30" t="n"/>
      <c r="D254" s="30" t="n"/>
      <c r="E254" s="30" t="n"/>
      <c r="F254" s="30" t="n"/>
      <c r="G254" s="30" t="n"/>
      <c r="H254" s="30" t="n"/>
      <c r="I254" s="30" t="n"/>
      <c r="J254" s="30" t="n"/>
      <c r="K254" s="30" t="n"/>
      <c r="L254" s="30" t="n"/>
      <c r="M254" s="30" t="n"/>
      <c r="N254" s="30" t="n"/>
      <c r="O254" s="31">
        <f>IF(A254="", "", IFERROR(INDEX(Dashboard!$A$13:$A$35, MATCH(A254, Dashboard!$B$13:$B$35, 0)), ""))</f>
        <v/>
      </c>
    </row>
    <row r="255" ht="65" customHeight="1">
      <c r="A255" s="30" t="n"/>
      <c r="B255" s="30" t="n"/>
      <c r="C255" s="30" t="n"/>
      <c r="D255" s="30" t="n"/>
      <c r="E255" s="30" t="n"/>
      <c r="F255" s="30" t="n"/>
      <c r="G255" s="30" t="n"/>
      <c r="H255" s="30" t="n"/>
      <c r="I255" s="30" t="n"/>
      <c r="J255" s="30" t="n"/>
      <c r="K255" s="30" t="n"/>
      <c r="L255" s="30" t="n"/>
      <c r="M255" s="30" t="n"/>
      <c r="N255" s="30" t="n"/>
      <c r="O255" s="31">
        <f>IF(A255="", "", IFERROR(INDEX(Dashboard!$A$13:$A$35, MATCH(A255, Dashboard!$B$13:$B$35, 0)), ""))</f>
        <v/>
      </c>
    </row>
    <row r="256" ht="65" customHeight="1">
      <c r="A256" s="30" t="n"/>
      <c r="B256" s="30" t="n"/>
      <c r="C256" s="30" t="n"/>
      <c r="D256" s="30" t="n"/>
      <c r="E256" s="30" t="n"/>
      <c r="F256" s="30" t="n"/>
      <c r="G256" s="30" t="n"/>
      <c r="H256" s="30" t="n"/>
      <c r="I256" s="30" t="n"/>
      <c r="J256" s="30" t="n"/>
      <c r="K256" s="30" t="n"/>
      <c r="L256" s="30" t="n"/>
      <c r="M256" s="30" t="n"/>
      <c r="N256" s="30" t="n"/>
      <c r="O256" s="31">
        <f>IF(A256="", "", IFERROR(INDEX(Dashboard!$A$13:$A$35, MATCH(A256, Dashboard!$B$13:$B$35, 0)), ""))</f>
        <v/>
      </c>
    </row>
    <row r="257" ht="65" customHeight="1">
      <c r="A257" s="30" t="n"/>
      <c r="B257" s="30" t="n"/>
      <c r="C257" s="30" t="n"/>
      <c r="D257" s="30" t="n"/>
      <c r="E257" s="30" t="n"/>
      <c r="F257" s="30" t="n"/>
      <c r="G257" s="30" t="n"/>
      <c r="H257" s="30" t="n"/>
      <c r="I257" s="30" t="n"/>
      <c r="J257" s="30" t="n"/>
      <c r="K257" s="30" t="n"/>
      <c r="L257" s="30" t="n"/>
      <c r="M257" s="30" t="n"/>
      <c r="N257" s="30" t="n"/>
      <c r="O257" s="31">
        <f>IF(A257="", "", IFERROR(INDEX(Dashboard!$A$13:$A$35, MATCH(A257, Dashboard!$B$13:$B$35, 0)), ""))</f>
        <v/>
      </c>
    </row>
    <row r="258" ht="65" customHeight="1">
      <c r="A258" s="30" t="n"/>
      <c r="B258" s="30" t="n"/>
      <c r="C258" s="30" t="n"/>
      <c r="D258" s="30" t="n"/>
      <c r="E258" s="30" t="n"/>
      <c r="F258" s="30" t="n"/>
      <c r="G258" s="30" t="n"/>
      <c r="H258" s="30" t="n"/>
      <c r="I258" s="30" t="n"/>
      <c r="J258" s="30" t="n"/>
      <c r="K258" s="30" t="n"/>
      <c r="L258" s="30" t="n"/>
      <c r="M258" s="30" t="n"/>
      <c r="N258" s="30" t="n"/>
      <c r="O258" s="31">
        <f>IF(A258="", "", IFERROR(INDEX(Dashboard!$A$13:$A$35, MATCH(A258, Dashboard!$B$13:$B$35, 0)), ""))</f>
        <v/>
      </c>
    </row>
    <row r="259" ht="65" customHeight="1">
      <c r="A259" s="30" t="n"/>
      <c r="B259" s="30" t="n"/>
      <c r="C259" s="30" t="n"/>
      <c r="D259" s="30" t="n"/>
      <c r="E259" s="30" t="n"/>
      <c r="F259" s="30" t="n"/>
      <c r="G259" s="30" t="n"/>
      <c r="H259" s="30" t="n"/>
      <c r="I259" s="30" t="n"/>
      <c r="J259" s="30" t="n"/>
      <c r="K259" s="30" t="n"/>
      <c r="L259" s="30" t="n"/>
      <c r="M259" s="30" t="n"/>
      <c r="N259" s="30" t="n"/>
      <c r="O259" s="31">
        <f>IF(A259="", "", IFERROR(INDEX(Dashboard!$A$13:$A$35, MATCH(A259, Dashboard!$B$13:$B$35, 0)), ""))</f>
        <v/>
      </c>
    </row>
    <row r="260" ht="65" customHeight="1">
      <c r="A260" s="30" t="n"/>
      <c r="B260" s="30" t="n"/>
      <c r="C260" s="30" t="n"/>
      <c r="D260" s="30" t="n"/>
      <c r="E260" s="30" t="n"/>
      <c r="F260" s="30" t="n"/>
      <c r="G260" s="30" t="n"/>
      <c r="H260" s="30" t="n"/>
      <c r="I260" s="30" t="n"/>
      <c r="J260" s="30" t="n"/>
      <c r="K260" s="30" t="n"/>
      <c r="L260" s="30" t="n"/>
      <c r="M260" s="30" t="n"/>
      <c r="N260" s="30" t="n"/>
      <c r="O260" s="31">
        <f>IF(A260="", "", IFERROR(INDEX(Dashboard!$A$13:$A$35, MATCH(A260, Dashboard!$B$13:$B$35, 0)), ""))</f>
        <v/>
      </c>
    </row>
    <row r="261" ht="65" customHeight="1">
      <c r="A261" s="30" t="n"/>
      <c r="B261" s="30" t="n"/>
      <c r="C261" s="30" t="n"/>
      <c r="D261" s="30" t="n"/>
      <c r="E261" s="30" t="n"/>
      <c r="F261" s="30" t="n"/>
      <c r="G261" s="30" t="n"/>
      <c r="H261" s="30" t="n"/>
      <c r="I261" s="30" t="n"/>
      <c r="J261" s="30" t="n"/>
      <c r="K261" s="30" t="n"/>
      <c r="L261" s="30" t="n"/>
      <c r="M261" s="30" t="n"/>
      <c r="N261" s="30" t="n"/>
      <c r="O261" s="31">
        <f>IF(A261="", "", IFERROR(INDEX(Dashboard!$A$13:$A$35, MATCH(A261, Dashboard!$B$13:$B$35, 0)), ""))</f>
        <v/>
      </c>
    </row>
    <row r="262" ht="65" customHeight="1">
      <c r="A262" s="30" t="n"/>
      <c r="B262" s="30" t="n"/>
      <c r="C262" s="30" t="n"/>
      <c r="D262" s="30" t="n"/>
      <c r="E262" s="30" t="n"/>
      <c r="F262" s="30" t="n"/>
      <c r="G262" s="30" t="n"/>
      <c r="H262" s="30" t="n"/>
      <c r="I262" s="30" t="n"/>
      <c r="J262" s="30" t="n"/>
      <c r="K262" s="30" t="n"/>
      <c r="L262" s="30" t="n"/>
      <c r="M262" s="30" t="n"/>
      <c r="N262" s="30" t="n"/>
      <c r="O262" s="31">
        <f>IF(A262="", "", IFERROR(INDEX(Dashboard!$A$13:$A$35, MATCH(A262, Dashboard!$B$13:$B$35, 0)), ""))</f>
        <v/>
      </c>
    </row>
    <row r="263" ht="65" customHeight="1">
      <c r="A263" s="30" t="n"/>
      <c r="B263" s="30" t="n"/>
      <c r="C263" s="30" t="n"/>
      <c r="D263" s="30" t="n"/>
      <c r="E263" s="30" t="n"/>
      <c r="F263" s="30" t="n"/>
      <c r="G263" s="30" t="n"/>
      <c r="H263" s="30" t="n"/>
      <c r="I263" s="30" t="n"/>
      <c r="J263" s="30" t="n"/>
      <c r="K263" s="30" t="n"/>
      <c r="L263" s="30" t="n"/>
      <c r="M263" s="30" t="n"/>
      <c r="N263" s="30" t="n"/>
      <c r="O263" s="31">
        <f>IF(A263="", "", IFERROR(INDEX(Dashboard!$A$13:$A$35, MATCH(A263, Dashboard!$B$13:$B$35, 0)), ""))</f>
        <v/>
      </c>
    </row>
    <row r="264" ht="65" customHeight="1">
      <c r="A264" s="30" t="n"/>
      <c r="B264" s="30" t="n"/>
      <c r="C264" s="30" t="n"/>
      <c r="D264" s="30" t="n"/>
      <c r="E264" s="30" t="n"/>
      <c r="F264" s="30" t="n"/>
      <c r="G264" s="30" t="n"/>
      <c r="H264" s="30" t="n"/>
      <c r="I264" s="30" t="n"/>
      <c r="J264" s="30" t="n"/>
      <c r="K264" s="30" t="n"/>
      <c r="L264" s="30" t="n"/>
      <c r="M264" s="30" t="n"/>
      <c r="N264" s="30" t="n"/>
      <c r="O264" s="31">
        <f>IF(A264="", "", IFERROR(INDEX(Dashboard!$A$13:$A$35, MATCH(A264, Dashboard!$B$13:$B$35, 0)), ""))</f>
        <v/>
      </c>
    </row>
    <row r="265" ht="65" customHeight="1">
      <c r="A265" s="30" t="n"/>
      <c r="B265" s="30" t="n"/>
      <c r="C265" s="30" t="n"/>
      <c r="D265" s="30" t="n"/>
      <c r="E265" s="30" t="n"/>
      <c r="F265" s="30" t="n"/>
      <c r="G265" s="30" t="n"/>
      <c r="H265" s="30" t="n"/>
      <c r="I265" s="30" t="n"/>
      <c r="J265" s="30" t="n"/>
      <c r="K265" s="30" t="n"/>
      <c r="L265" s="30" t="n"/>
      <c r="M265" s="30" t="n"/>
      <c r="N265" s="30" t="n"/>
      <c r="O265" s="31">
        <f>IF(A265="", "", IFERROR(INDEX(Dashboard!$A$13:$A$35, MATCH(A265, Dashboard!$B$13:$B$35, 0)), ""))</f>
        <v/>
      </c>
    </row>
    <row r="266" ht="65" customHeight="1">
      <c r="A266" s="30" t="n"/>
      <c r="B266" s="30" t="n"/>
      <c r="C266" s="30" t="n"/>
      <c r="D266" s="30" t="n"/>
      <c r="E266" s="30" t="n"/>
      <c r="F266" s="30" t="n"/>
      <c r="G266" s="30" t="n"/>
      <c r="H266" s="30" t="n"/>
      <c r="I266" s="30" t="n"/>
      <c r="J266" s="30" t="n"/>
      <c r="K266" s="30" t="n"/>
      <c r="L266" s="30" t="n"/>
      <c r="M266" s="30" t="n"/>
      <c r="N266" s="30" t="n"/>
      <c r="O266" s="31">
        <f>IF(A266="", "", IFERROR(INDEX(Dashboard!$A$13:$A$35, MATCH(A266, Dashboard!$B$13:$B$35, 0)), ""))</f>
        <v/>
      </c>
    </row>
    <row r="267" ht="65" customHeight="1">
      <c r="A267" s="30" t="n"/>
      <c r="B267" s="30" t="n"/>
      <c r="C267" s="30" t="n"/>
      <c r="D267" s="30" t="n"/>
      <c r="E267" s="30" t="n"/>
      <c r="F267" s="30" t="n"/>
      <c r="G267" s="30" t="n"/>
      <c r="H267" s="30" t="n"/>
      <c r="I267" s="30" t="n"/>
      <c r="J267" s="30" t="n"/>
      <c r="K267" s="30" t="n"/>
      <c r="L267" s="30" t="n"/>
      <c r="M267" s="30" t="n"/>
      <c r="N267" s="30" t="n"/>
      <c r="O267" s="31">
        <f>IF(A267="", "", IFERROR(INDEX(Dashboard!$A$13:$A$35, MATCH(A267, Dashboard!$B$13:$B$35, 0)), ""))</f>
        <v/>
      </c>
    </row>
    <row r="268" ht="65" customHeight="1">
      <c r="A268" s="30" t="n"/>
      <c r="B268" s="30" t="n"/>
      <c r="C268" s="30" t="n"/>
      <c r="D268" s="30" t="n"/>
      <c r="E268" s="30" t="n"/>
      <c r="F268" s="30" t="n"/>
      <c r="G268" s="30" t="n"/>
      <c r="H268" s="30" t="n"/>
      <c r="I268" s="30" t="n"/>
      <c r="J268" s="30" t="n"/>
      <c r="K268" s="30" t="n"/>
      <c r="L268" s="30" t="n"/>
      <c r="M268" s="30" t="n"/>
      <c r="N268" s="30" t="n"/>
      <c r="O268" s="31">
        <f>IF(A268="", "", IFERROR(INDEX(Dashboard!$A$13:$A$35, MATCH(A268, Dashboard!$B$13:$B$35, 0)), ""))</f>
        <v/>
      </c>
    </row>
    <row r="269" ht="65" customHeight="1">
      <c r="A269" s="30" t="n"/>
      <c r="B269" s="30" t="n"/>
      <c r="C269" s="30" t="n"/>
      <c r="D269" s="30" t="n"/>
      <c r="E269" s="30" t="n"/>
      <c r="F269" s="30" t="n"/>
      <c r="G269" s="30" t="n"/>
      <c r="H269" s="30" t="n"/>
      <c r="I269" s="30" t="n"/>
      <c r="J269" s="30" t="n"/>
      <c r="K269" s="30" t="n"/>
      <c r="L269" s="30" t="n"/>
      <c r="M269" s="30" t="n"/>
      <c r="N269" s="30" t="n"/>
      <c r="O269" s="31">
        <f>IF(A269="", "", IFERROR(INDEX(Dashboard!$A$13:$A$35, MATCH(A269, Dashboard!$B$13:$B$35, 0)), ""))</f>
        <v/>
      </c>
    </row>
    <row r="270" ht="65" customHeight="1">
      <c r="A270" s="30" t="n"/>
      <c r="B270" s="30" t="n"/>
      <c r="C270" s="30" t="n"/>
      <c r="D270" s="30" t="n"/>
      <c r="E270" s="30" t="n"/>
      <c r="F270" s="30" t="n"/>
      <c r="G270" s="30" t="n"/>
      <c r="H270" s="30" t="n"/>
      <c r="I270" s="30" t="n"/>
      <c r="J270" s="30" t="n"/>
      <c r="K270" s="30" t="n"/>
      <c r="L270" s="30" t="n"/>
      <c r="M270" s="30" t="n"/>
      <c r="N270" s="30" t="n"/>
      <c r="O270" s="31">
        <f>IF(A270="", "", IFERROR(INDEX(Dashboard!$A$13:$A$35, MATCH(A270, Dashboard!$B$13:$B$35, 0)), ""))</f>
        <v/>
      </c>
    </row>
    <row r="271" ht="65" customHeight="1">
      <c r="A271" s="30" t="n"/>
      <c r="B271" s="30" t="n"/>
      <c r="C271" s="30" t="n"/>
      <c r="D271" s="30" t="n"/>
      <c r="E271" s="30" t="n"/>
      <c r="F271" s="30" t="n"/>
      <c r="G271" s="30" t="n"/>
      <c r="H271" s="30" t="n"/>
      <c r="I271" s="30" t="n"/>
      <c r="J271" s="30" t="n"/>
      <c r="K271" s="30" t="n"/>
      <c r="L271" s="30" t="n"/>
      <c r="M271" s="30" t="n"/>
      <c r="N271" s="30" t="n"/>
      <c r="O271" s="31">
        <f>IF(A271="", "", IFERROR(INDEX(Dashboard!$A$13:$A$35, MATCH(A271, Dashboard!$B$13:$B$35, 0)), ""))</f>
        <v/>
      </c>
    </row>
    <row r="272" ht="65" customHeight="1">
      <c r="A272" s="30" t="n"/>
      <c r="B272" s="30" t="n"/>
      <c r="C272" s="30" t="n"/>
      <c r="D272" s="30" t="n"/>
      <c r="E272" s="30" t="n"/>
      <c r="F272" s="30" t="n"/>
      <c r="G272" s="30" t="n"/>
      <c r="H272" s="30" t="n"/>
      <c r="I272" s="30" t="n"/>
      <c r="J272" s="30" t="n"/>
      <c r="K272" s="30" t="n"/>
      <c r="L272" s="30" t="n"/>
      <c r="M272" s="30" t="n"/>
      <c r="N272" s="30" t="n"/>
      <c r="O272" s="31">
        <f>IF(A272="", "", IFERROR(INDEX(Dashboard!$A$13:$A$35, MATCH(A272, Dashboard!$B$13:$B$35, 0)), ""))</f>
        <v/>
      </c>
    </row>
    <row r="273" ht="65" customHeight="1">
      <c r="A273" s="30" t="n"/>
      <c r="B273" s="30" t="n"/>
      <c r="C273" s="30" t="n"/>
      <c r="D273" s="30" t="n"/>
      <c r="E273" s="30" t="n"/>
      <c r="F273" s="30" t="n"/>
      <c r="G273" s="30" t="n"/>
      <c r="H273" s="30" t="n"/>
      <c r="I273" s="30" t="n"/>
      <c r="J273" s="30" t="n"/>
      <c r="K273" s="30" t="n"/>
      <c r="L273" s="30" t="n"/>
      <c r="M273" s="30" t="n"/>
      <c r="N273" s="30" t="n"/>
      <c r="O273" s="31">
        <f>IF(A273="", "", IFERROR(INDEX(Dashboard!$A$13:$A$35, MATCH(A273, Dashboard!$B$13:$B$35, 0)), ""))</f>
        <v/>
      </c>
    </row>
    <row r="274" ht="65" customHeight="1">
      <c r="A274" s="30" t="n"/>
      <c r="B274" s="30" t="n"/>
      <c r="C274" s="30" t="n"/>
      <c r="D274" s="30" t="n"/>
      <c r="E274" s="30" t="n"/>
      <c r="F274" s="30" t="n"/>
      <c r="G274" s="30" t="n"/>
      <c r="H274" s="30" t="n"/>
      <c r="I274" s="30" t="n"/>
      <c r="J274" s="30" t="n"/>
      <c r="K274" s="30" t="n"/>
      <c r="L274" s="30" t="n"/>
      <c r="M274" s="30" t="n"/>
      <c r="N274" s="30" t="n"/>
      <c r="O274" s="31">
        <f>IF(A274="", "", IFERROR(INDEX(Dashboard!$A$13:$A$35, MATCH(A274, Dashboard!$B$13:$B$35, 0)), ""))</f>
        <v/>
      </c>
    </row>
    <row r="275" ht="65" customHeight="1">
      <c r="A275" s="30" t="n"/>
      <c r="B275" s="30" t="n"/>
      <c r="C275" s="30" t="n"/>
      <c r="D275" s="30" t="n"/>
      <c r="E275" s="30" t="n"/>
      <c r="F275" s="30" t="n"/>
      <c r="G275" s="30" t="n"/>
      <c r="H275" s="30" t="n"/>
      <c r="I275" s="30" t="n"/>
      <c r="J275" s="30" t="n"/>
      <c r="K275" s="30" t="n"/>
      <c r="L275" s="30" t="n"/>
      <c r="M275" s="30" t="n"/>
      <c r="N275" s="30" t="n"/>
      <c r="O275" s="31">
        <f>IF(A275="", "", IFERROR(INDEX(Dashboard!$A$13:$A$35, MATCH(A275, Dashboard!$B$13:$B$35, 0)), ""))</f>
        <v/>
      </c>
    </row>
    <row r="276" ht="65" customHeight="1">
      <c r="A276" s="30" t="n"/>
      <c r="B276" s="30" t="n"/>
      <c r="C276" s="30" t="n"/>
      <c r="D276" s="30" t="n"/>
      <c r="E276" s="30" t="n"/>
      <c r="F276" s="30" t="n"/>
      <c r="G276" s="30" t="n"/>
      <c r="H276" s="30" t="n"/>
      <c r="I276" s="30" t="n"/>
      <c r="J276" s="30" t="n"/>
      <c r="K276" s="30" t="n"/>
      <c r="L276" s="30" t="n"/>
      <c r="M276" s="30" t="n"/>
      <c r="N276" s="30" t="n"/>
      <c r="O276" s="31">
        <f>IF(A276="", "", IFERROR(INDEX(Dashboard!$A$13:$A$35, MATCH(A276, Dashboard!$B$13:$B$35, 0)), ""))</f>
        <v/>
      </c>
    </row>
    <row r="277" ht="65" customHeight="1">
      <c r="A277" s="30" t="n"/>
      <c r="B277" s="30" t="n"/>
      <c r="C277" s="30" t="n"/>
      <c r="D277" s="30" t="n"/>
      <c r="E277" s="30" t="n"/>
      <c r="F277" s="30" t="n"/>
      <c r="G277" s="30" t="n"/>
      <c r="H277" s="30" t="n"/>
      <c r="I277" s="30" t="n"/>
      <c r="J277" s="30" t="n"/>
      <c r="K277" s="30" t="n"/>
      <c r="L277" s="30" t="n"/>
      <c r="M277" s="30" t="n"/>
      <c r="N277" s="30" t="n"/>
      <c r="O277" s="31">
        <f>IF(A277="", "", IFERROR(INDEX(Dashboard!$A$13:$A$35, MATCH(A277, Dashboard!$B$13:$B$35, 0)), ""))</f>
        <v/>
      </c>
    </row>
    <row r="278" ht="65" customHeight="1">
      <c r="A278" s="30" t="n"/>
      <c r="B278" s="30" t="n"/>
      <c r="C278" s="30" t="n"/>
      <c r="D278" s="30" t="n"/>
      <c r="E278" s="30" t="n"/>
      <c r="F278" s="30" t="n"/>
      <c r="G278" s="30" t="n"/>
      <c r="H278" s="30" t="n"/>
      <c r="I278" s="30" t="n"/>
      <c r="J278" s="30" t="n"/>
      <c r="K278" s="30" t="n"/>
      <c r="L278" s="30" t="n"/>
      <c r="M278" s="30" t="n"/>
      <c r="N278" s="30" t="n"/>
      <c r="O278" s="31">
        <f>IF(A278="", "", IFERROR(INDEX(Dashboard!$A$13:$A$35, MATCH(A278, Dashboard!$B$13:$B$35, 0)), ""))</f>
        <v/>
      </c>
    </row>
    <row r="279" ht="65" customHeight="1">
      <c r="A279" s="30" t="n"/>
      <c r="B279" s="30" t="n"/>
      <c r="C279" s="30" t="n"/>
      <c r="D279" s="30" t="n"/>
      <c r="E279" s="30" t="n"/>
      <c r="F279" s="30" t="n"/>
      <c r="G279" s="30" t="n"/>
      <c r="H279" s="30" t="n"/>
      <c r="I279" s="30" t="n"/>
      <c r="J279" s="30" t="n"/>
      <c r="K279" s="30" t="n"/>
      <c r="L279" s="30" t="n"/>
      <c r="M279" s="30" t="n"/>
      <c r="N279" s="30" t="n"/>
      <c r="O279" s="31">
        <f>IF(A279="", "", IFERROR(INDEX(Dashboard!$A$13:$A$35, MATCH(A279, Dashboard!$B$13:$B$35, 0)), ""))</f>
        <v/>
      </c>
    </row>
    <row r="280" ht="65" customHeight="1">
      <c r="A280" s="30" t="n"/>
      <c r="B280" s="30" t="n"/>
      <c r="C280" s="30" t="n"/>
      <c r="D280" s="30" t="n"/>
      <c r="E280" s="30" t="n"/>
      <c r="F280" s="30" t="n"/>
      <c r="G280" s="30" t="n"/>
      <c r="H280" s="30" t="n"/>
      <c r="I280" s="30" t="n"/>
      <c r="J280" s="30" t="n"/>
      <c r="K280" s="30" t="n"/>
      <c r="L280" s="30" t="n"/>
      <c r="M280" s="30" t="n"/>
      <c r="N280" s="30" t="n"/>
      <c r="O280" s="31">
        <f>IF(A280="", "", IFERROR(INDEX(Dashboard!$A$13:$A$35, MATCH(A280, Dashboard!$B$13:$B$35, 0)), ""))</f>
        <v/>
      </c>
    </row>
    <row r="281" ht="65" customHeight="1">
      <c r="A281" s="30" t="n"/>
      <c r="B281" s="30" t="n"/>
      <c r="C281" s="30" t="n"/>
      <c r="D281" s="30" t="n"/>
      <c r="E281" s="30" t="n"/>
      <c r="F281" s="30" t="n"/>
      <c r="G281" s="30" t="n"/>
      <c r="H281" s="30" t="n"/>
      <c r="I281" s="30" t="n"/>
      <c r="J281" s="30" t="n"/>
      <c r="K281" s="30" t="n"/>
      <c r="L281" s="30" t="n"/>
      <c r="M281" s="30" t="n"/>
      <c r="N281" s="30" t="n"/>
      <c r="O281" s="31">
        <f>IF(A281="", "", IFERROR(INDEX(Dashboard!$A$13:$A$35, MATCH(A281, Dashboard!$B$13:$B$35, 0)), ""))</f>
        <v/>
      </c>
    </row>
    <row r="282" ht="65" customHeight="1">
      <c r="A282" s="30" t="n"/>
      <c r="B282" s="30" t="n"/>
      <c r="C282" s="30" t="n"/>
      <c r="D282" s="30" t="n"/>
      <c r="E282" s="30" t="n"/>
      <c r="F282" s="30" t="n"/>
      <c r="G282" s="30" t="n"/>
      <c r="H282" s="30" t="n"/>
      <c r="I282" s="30" t="n"/>
      <c r="J282" s="30" t="n"/>
      <c r="K282" s="30" t="n"/>
      <c r="L282" s="30" t="n"/>
      <c r="M282" s="30" t="n"/>
      <c r="N282" s="30" t="n"/>
      <c r="O282" s="31">
        <f>IF(A282="", "", IFERROR(INDEX(Dashboard!$A$13:$A$35, MATCH(A282, Dashboard!$B$13:$B$35, 0)), ""))</f>
        <v/>
      </c>
    </row>
    <row r="283" ht="65" customHeight="1">
      <c r="A283" s="30" t="n"/>
      <c r="B283" s="30" t="n"/>
      <c r="C283" s="30" t="n"/>
      <c r="D283" s="30" t="n"/>
      <c r="E283" s="30" t="n"/>
      <c r="F283" s="30" t="n"/>
      <c r="G283" s="30" t="n"/>
      <c r="H283" s="30" t="n"/>
      <c r="I283" s="30" t="n"/>
      <c r="J283" s="30" t="n"/>
      <c r="K283" s="30" t="n"/>
      <c r="L283" s="30" t="n"/>
      <c r="M283" s="30" t="n"/>
      <c r="N283" s="30" t="n"/>
      <c r="O283" s="31">
        <f>IF(A283="", "", IFERROR(INDEX(Dashboard!$A$13:$A$35, MATCH(A283, Dashboard!$B$13:$B$35, 0)), ""))</f>
        <v/>
      </c>
    </row>
    <row r="284" ht="65" customHeight="1">
      <c r="A284" s="30" t="n"/>
      <c r="B284" s="30" t="n"/>
      <c r="C284" s="30" t="n"/>
      <c r="D284" s="30" t="n"/>
      <c r="E284" s="30" t="n"/>
      <c r="F284" s="30" t="n"/>
      <c r="G284" s="30" t="n"/>
      <c r="H284" s="30" t="n"/>
      <c r="I284" s="30" t="n"/>
      <c r="J284" s="30" t="n"/>
      <c r="K284" s="30" t="n"/>
      <c r="L284" s="30" t="n"/>
      <c r="M284" s="30" t="n"/>
      <c r="N284" s="30" t="n"/>
      <c r="O284" s="31">
        <f>IF(A284="", "", IFERROR(INDEX(Dashboard!$A$13:$A$35, MATCH(A284, Dashboard!$B$13:$B$35, 0)), ""))</f>
        <v/>
      </c>
    </row>
    <row r="285" ht="65" customHeight="1">
      <c r="A285" s="30" t="n"/>
      <c r="B285" s="30" t="n"/>
      <c r="C285" s="30" t="n"/>
      <c r="D285" s="30" t="n"/>
      <c r="E285" s="30" t="n"/>
      <c r="F285" s="30" t="n"/>
      <c r="G285" s="30" t="n"/>
      <c r="H285" s="30" t="n"/>
      <c r="I285" s="30" t="n"/>
      <c r="J285" s="30" t="n"/>
      <c r="K285" s="30" t="n"/>
      <c r="L285" s="30" t="n"/>
      <c r="M285" s="30" t="n"/>
      <c r="N285" s="30" t="n"/>
      <c r="O285" s="31">
        <f>IF(A285="", "", IFERROR(INDEX(Dashboard!$A$13:$A$35, MATCH(A285, Dashboard!$B$13:$B$35, 0)), ""))</f>
        <v/>
      </c>
    </row>
    <row r="286" ht="65" customHeight="1">
      <c r="A286" s="30" t="n"/>
      <c r="B286" s="30" t="n"/>
      <c r="C286" s="30" t="n"/>
      <c r="D286" s="30" t="n"/>
      <c r="E286" s="30" t="n"/>
      <c r="F286" s="30" t="n"/>
      <c r="G286" s="30" t="n"/>
      <c r="H286" s="30" t="n"/>
      <c r="I286" s="30" t="n"/>
      <c r="J286" s="30" t="n"/>
      <c r="K286" s="30" t="n"/>
      <c r="L286" s="30" t="n"/>
      <c r="M286" s="30" t="n"/>
      <c r="N286" s="30" t="n"/>
      <c r="O286" s="31">
        <f>IF(A286="", "", IFERROR(INDEX(Dashboard!$A$13:$A$35, MATCH(A286, Dashboard!$B$13:$B$35, 0)), ""))</f>
        <v/>
      </c>
    </row>
    <row r="287" ht="65" customHeight="1">
      <c r="A287" s="30" t="n"/>
      <c r="B287" s="30" t="n"/>
      <c r="C287" s="30" t="n"/>
      <c r="D287" s="30" t="n"/>
      <c r="E287" s="30" t="n"/>
      <c r="F287" s="30" t="n"/>
      <c r="G287" s="30" t="n"/>
      <c r="H287" s="30" t="n"/>
      <c r="I287" s="30" t="n"/>
      <c r="J287" s="30" t="n"/>
      <c r="K287" s="30" t="n"/>
      <c r="L287" s="30" t="n"/>
      <c r="M287" s="30" t="n"/>
      <c r="N287" s="30" t="n"/>
      <c r="O287" s="31">
        <f>IF(A287="", "", IFERROR(INDEX(Dashboard!$A$13:$A$35, MATCH(A287, Dashboard!$B$13:$B$35, 0)), ""))</f>
        <v/>
      </c>
    </row>
    <row r="288" ht="65" customHeight="1">
      <c r="A288" s="30" t="n"/>
      <c r="B288" s="30" t="n"/>
      <c r="C288" s="30" t="n"/>
      <c r="D288" s="30" t="n"/>
      <c r="E288" s="30" t="n"/>
      <c r="F288" s="30" t="n"/>
      <c r="G288" s="30" t="n"/>
      <c r="H288" s="30" t="n"/>
      <c r="I288" s="30" t="n"/>
      <c r="J288" s="30" t="n"/>
      <c r="K288" s="30" t="n"/>
      <c r="L288" s="30" t="n"/>
      <c r="M288" s="30" t="n"/>
      <c r="N288" s="30" t="n"/>
      <c r="O288" s="31">
        <f>IF(A288="", "", IFERROR(INDEX(Dashboard!$A$13:$A$35, MATCH(A288, Dashboard!$B$13:$B$35, 0)), ""))</f>
        <v/>
      </c>
    </row>
    <row r="289" ht="65" customHeight="1">
      <c r="A289" s="30" t="n"/>
      <c r="B289" s="30" t="n"/>
      <c r="C289" s="30" t="n"/>
      <c r="D289" s="30" t="n"/>
      <c r="E289" s="30" t="n"/>
      <c r="F289" s="30" t="n"/>
      <c r="G289" s="30" t="n"/>
      <c r="H289" s="30" t="n"/>
      <c r="I289" s="30" t="n"/>
      <c r="J289" s="30" t="n"/>
      <c r="K289" s="30" t="n"/>
      <c r="L289" s="30" t="n"/>
      <c r="M289" s="30" t="n"/>
      <c r="N289" s="30" t="n"/>
      <c r="O289" s="31">
        <f>IF(A289="", "", IFERROR(INDEX(Dashboard!$A$13:$A$35, MATCH(A289, Dashboard!$B$13:$B$35, 0)), ""))</f>
        <v/>
      </c>
    </row>
    <row r="290" ht="65" customHeight="1">
      <c r="A290" s="30" t="n"/>
      <c r="B290" s="30" t="n"/>
      <c r="C290" s="30" t="n"/>
      <c r="D290" s="30" t="n"/>
      <c r="E290" s="30" t="n"/>
      <c r="F290" s="30" t="n"/>
      <c r="G290" s="30" t="n"/>
      <c r="H290" s="30" t="n"/>
      <c r="I290" s="30" t="n"/>
      <c r="J290" s="30" t="n"/>
      <c r="K290" s="30" t="n"/>
      <c r="L290" s="30" t="n"/>
      <c r="M290" s="30" t="n"/>
      <c r="N290" s="30" t="n"/>
      <c r="O290" s="31">
        <f>IF(A290="", "", IFERROR(INDEX(Dashboard!$A$13:$A$35, MATCH(A290, Dashboard!$B$13:$B$35, 0)), ""))</f>
        <v/>
      </c>
    </row>
    <row r="291" ht="65" customHeight="1">
      <c r="A291" s="30" t="n"/>
      <c r="B291" s="30" t="n"/>
      <c r="C291" s="30" t="n"/>
      <c r="D291" s="30" t="n"/>
      <c r="E291" s="30" t="n"/>
      <c r="F291" s="30" t="n"/>
      <c r="G291" s="30" t="n"/>
      <c r="H291" s="30" t="n"/>
      <c r="I291" s="30" t="n"/>
      <c r="J291" s="30" t="n"/>
      <c r="K291" s="30" t="n"/>
      <c r="L291" s="30" t="n"/>
      <c r="M291" s="30" t="n"/>
      <c r="N291" s="30" t="n"/>
      <c r="O291" s="31">
        <f>IF(A291="", "", IFERROR(INDEX(Dashboard!$A$13:$A$35, MATCH(A291, Dashboard!$B$13:$B$35, 0)), ""))</f>
        <v/>
      </c>
    </row>
    <row r="292" ht="65" customHeight="1">
      <c r="A292" s="30" t="n"/>
      <c r="B292" s="30" t="n"/>
      <c r="C292" s="30" t="n"/>
      <c r="D292" s="30" t="n"/>
      <c r="E292" s="30" t="n"/>
      <c r="F292" s="30" t="n"/>
      <c r="G292" s="30" t="n"/>
      <c r="H292" s="30" t="n"/>
      <c r="I292" s="30" t="n"/>
      <c r="J292" s="30" t="n"/>
      <c r="K292" s="30" t="n"/>
      <c r="L292" s="30" t="n"/>
      <c r="M292" s="30" t="n"/>
      <c r="N292" s="30" t="n"/>
      <c r="O292" s="31">
        <f>IF(A292="", "", IFERROR(INDEX(Dashboard!$A$13:$A$35, MATCH(A292, Dashboard!$B$13:$B$35, 0)), ""))</f>
        <v/>
      </c>
    </row>
    <row r="293" ht="65" customHeight="1">
      <c r="A293" s="30" t="n"/>
      <c r="B293" s="30" t="n"/>
      <c r="C293" s="30" t="n"/>
      <c r="D293" s="30" t="n"/>
      <c r="E293" s="30" t="n"/>
      <c r="F293" s="30" t="n"/>
      <c r="G293" s="30" t="n"/>
      <c r="H293" s="30" t="n"/>
      <c r="I293" s="30" t="n"/>
      <c r="J293" s="30" t="n"/>
      <c r="K293" s="30" t="n"/>
      <c r="L293" s="30" t="n"/>
      <c r="M293" s="30" t="n"/>
      <c r="N293" s="30" t="n"/>
      <c r="O293" s="31">
        <f>IF(A293="", "", IFERROR(INDEX(Dashboard!$A$13:$A$35, MATCH(A293, Dashboard!$B$13:$B$35, 0)), ""))</f>
        <v/>
      </c>
    </row>
    <row r="294" ht="65" customHeight="1">
      <c r="A294" s="30" t="n"/>
      <c r="B294" s="30" t="n"/>
      <c r="C294" s="30" t="n"/>
      <c r="D294" s="30" t="n"/>
      <c r="E294" s="30" t="n"/>
      <c r="F294" s="30" t="n"/>
      <c r="G294" s="30" t="n"/>
      <c r="H294" s="30" t="n"/>
      <c r="I294" s="30" t="n"/>
      <c r="J294" s="30" t="n"/>
      <c r="K294" s="30" t="n"/>
      <c r="L294" s="30" t="n"/>
      <c r="M294" s="30" t="n"/>
      <c r="N294" s="30" t="n"/>
      <c r="O294" s="31">
        <f>IF(A294="", "", IFERROR(INDEX(Dashboard!$A$13:$A$35, MATCH(A294, Dashboard!$B$13:$B$35, 0)), ""))</f>
        <v/>
      </c>
    </row>
    <row r="295" ht="65" customHeight="1">
      <c r="A295" s="30" t="n"/>
      <c r="B295" s="30" t="n"/>
      <c r="C295" s="30" t="n"/>
      <c r="D295" s="30" t="n"/>
      <c r="E295" s="30" t="n"/>
      <c r="F295" s="30" t="n"/>
      <c r="G295" s="30" t="n"/>
      <c r="H295" s="30" t="n"/>
      <c r="I295" s="30" t="n"/>
      <c r="J295" s="30" t="n"/>
      <c r="K295" s="30" t="n"/>
      <c r="L295" s="30" t="n"/>
      <c r="M295" s="30" t="n"/>
      <c r="N295" s="30" t="n"/>
      <c r="O295" s="31">
        <f>IF(A295="", "", IFERROR(INDEX(Dashboard!$A$13:$A$35, MATCH(A295, Dashboard!$B$13:$B$35, 0)), ""))</f>
        <v/>
      </c>
    </row>
    <row r="296" ht="65" customHeight="1">
      <c r="A296" s="30" t="n"/>
      <c r="B296" s="30" t="n"/>
      <c r="C296" s="30" t="n"/>
      <c r="D296" s="30" t="n"/>
      <c r="E296" s="30" t="n"/>
      <c r="F296" s="30" t="n"/>
      <c r="G296" s="30" t="n"/>
      <c r="H296" s="30" t="n"/>
      <c r="I296" s="30" t="n"/>
      <c r="J296" s="30" t="n"/>
      <c r="K296" s="30" t="n"/>
      <c r="L296" s="30" t="n"/>
      <c r="M296" s="30" t="n"/>
      <c r="N296" s="30" t="n"/>
      <c r="O296" s="31">
        <f>IF(A296="", "", IFERROR(INDEX(Dashboard!$A$13:$A$35, MATCH(A296, Dashboard!$B$13:$B$35, 0)), ""))</f>
        <v/>
      </c>
    </row>
    <row r="297" ht="65" customHeight="1">
      <c r="A297" s="30" t="n"/>
      <c r="B297" s="30" t="n"/>
      <c r="C297" s="30" t="n"/>
      <c r="D297" s="30" t="n"/>
      <c r="E297" s="30" t="n"/>
      <c r="F297" s="30" t="n"/>
      <c r="G297" s="30" t="n"/>
      <c r="H297" s="30" t="n"/>
      <c r="I297" s="30" t="n"/>
      <c r="J297" s="30" t="n"/>
      <c r="K297" s="30" t="n"/>
      <c r="L297" s="30" t="n"/>
      <c r="M297" s="30" t="n"/>
      <c r="N297" s="30" t="n"/>
      <c r="O297" s="31">
        <f>IF(A297="", "", IFERROR(INDEX(Dashboard!$A$13:$A$35, MATCH(A297, Dashboard!$B$13:$B$35, 0)), ""))</f>
        <v/>
      </c>
    </row>
    <row r="298" ht="65" customHeight="1">
      <c r="A298" s="30" t="n"/>
      <c r="B298" s="30" t="n"/>
      <c r="C298" s="30" t="n"/>
      <c r="D298" s="30" t="n"/>
      <c r="E298" s="30" t="n"/>
      <c r="F298" s="30" t="n"/>
      <c r="G298" s="30" t="n"/>
      <c r="H298" s="30" t="n"/>
      <c r="I298" s="30" t="n"/>
      <c r="J298" s="30" t="n"/>
      <c r="K298" s="30" t="n"/>
      <c r="L298" s="30" t="n"/>
      <c r="M298" s="30" t="n"/>
      <c r="N298" s="30" t="n"/>
      <c r="O298" s="31">
        <f>IF(A298="", "", IFERROR(INDEX(Dashboard!$A$13:$A$35, MATCH(A298, Dashboard!$B$13:$B$35, 0)), ""))</f>
        <v/>
      </c>
    </row>
    <row r="299" ht="65" customHeight="1">
      <c r="A299" s="30" t="n"/>
      <c r="B299" s="30" t="n"/>
      <c r="C299" s="30" t="n"/>
      <c r="D299" s="30" t="n"/>
      <c r="E299" s="30" t="n"/>
      <c r="F299" s="30" t="n"/>
      <c r="G299" s="30" t="n"/>
      <c r="H299" s="30" t="n"/>
      <c r="I299" s="30" t="n"/>
      <c r="J299" s="30" t="n"/>
      <c r="K299" s="30" t="n"/>
      <c r="L299" s="30" t="n"/>
      <c r="M299" s="30" t="n"/>
      <c r="N299" s="30" t="n"/>
      <c r="O299" s="31">
        <f>IF(A299="", "", IFERROR(INDEX(Dashboard!$A$13:$A$35, MATCH(A299, Dashboard!$B$13:$B$35, 0)), ""))</f>
        <v/>
      </c>
    </row>
    <row r="300" ht="65" customHeight="1">
      <c r="A300" s="30" t="n"/>
      <c r="B300" s="30" t="n"/>
      <c r="C300" s="30" t="n"/>
      <c r="D300" s="30" t="n"/>
      <c r="E300" s="30" t="n"/>
      <c r="F300" s="30" t="n"/>
      <c r="G300" s="30" t="n"/>
      <c r="H300" s="30" t="n"/>
      <c r="I300" s="30" t="n"/>
      <c r="J300" s="30" t="n"/>
      <c r="K300" s="30" t="n"/>
      <c r="L300" s="30" t="n"/>
      <c r="M300" s="30" t="n"/>
      <c r="N300" s="30" t="n"/>
      <c r="O300" s="31">
        <f>IF(A300="", "", IFERROR(INDEX(Dashboard!$A$13:$A$35, MATCH(A300, Dashboard!$B$13:$B$35, 0)), ""))</f>
        <v/>
      </c>
    </row>
    <row r="301" ht="65" customHeight="1">
      <c r="A301" s="30" t="n"/>
      <c r="B301" s="30" t="n"/>
      <c r="C301" s="30" t="n"/>
      <c r="D301" s="30" t="n"/>
      <c r="E301" s="30" t="n"/>
      <c r="F301" s="30" t="n"/>
      <c r="G301" s="30" t="n"/>
      <c r="H301" s="30" t="n"/>
      <c r="I301" s="30" t="n"/>
      <c r="J301" s="30" t="n"/>
      <c r="K301" s="30" t="n"/>
      <c r="L301" s="30" t="n"/>
      <c r="M301" s="30" t="n"/>
      <c r="N301" s="30" t="n"/>
      <c r="O301" s="31">
        <f>IF(A301="", "", IFERROR(INDEX(Dashboard!$A$13:$A$35, MATCH(A301, Dashboard!$B$13:$B$35, 0)), ""))</f>
        <v/>
      </c>
    </row>
    <row r="302" ht="65" customHeight="1">
      <c r="A302" s="30" t="n"/>
      <c r="B302" s="30" t="n"/>
      <c r="C302" s="30" t="n"/>
      <c r="D302" s="30" t="n"/>
      <c r="E302" s="30" t="n"/>
      <c r="F302" s="30" t="n"/>
      <c r="G302" s="30" t="n"/>
      <c r="H302" s="30" t="n"/>
      <c r="I302" s="30" t="n"/>
      <c r="J302" s="30" t="n"/>
      <c r="K302" s="30" t="n"/>
      <c r="L302" s="30" t="n"/>
      <c r="M302" s="30" t="n"/>
      <c r="N302" s="30" t="n"/>
      <c r="O302" s="31">
        <f>IF(A302="", "", IFERROR(INDEX(Dashboard!$A$13:$A$35, MATCH(A302, Dashboard!$B$13:$B$35, 0)), ""))</f>
        <v/>
      </c>
    </row>
    <row r="303" ht="65" customHeight="1">
      <c r="A303" s="30" t="n"/>
      <c r="B303" s="30" t="n"/>
      <c r="C303" s="30" t="n"/>
      <c r="D303" s="30" t="n"/>
      <c r="E303" s="30" t="n"/>
      <c r="F303" s="30" t="n"/>
      <c r="G303" s="30" t="n"/>
      <c r="H303" s="30" t="n"/>
      <c r="I303" s="30" t="n"/>
      <c r="J303" s="30" t="n"/>
      <c r="K303" s="30" t="n"/>
      <c r="L303" s="30" t="n"/>
      <c r="M303" s="30" t="n"/>
      <c r="N303" s="30" t="n"/>
      <c r="O303" s="31">
        <f>IF(A303="", "", IFERROR(INDEX(Dashboard!$A$13:$A$35, MATCH(A303, Dashboard!$B$13:$B$35, 0)), ""))</f>
        <v/>
      </c>
    </row>
    <row r="304" ht="65" customHeight="1">
      <c r="A304" s="30" t="n"/>
      <c r="B304" s="30" t="n"/>
      <c r="C304" s="30" t="n"/>
      <c r="D304" s="30" t="n"/>
      <c r="E304" s="30" t="n"/>
      <c r="F304" s="30" t="n"/>
      <c r="G304" s="30" t="n"/>
      <c r="H304" s="30" t="n"/>
      <c r="I304" s="30" t="n"/>
      <c r="J304" s="30" t="n"/>
      <c r="K304" s="30" t="n"/>
      <c r="L304" s="30" t="n"/>
      <c r="M304" s="30" t="n"/>
      <c r="N304" s="30" t="n"/>
      <c r="O304" s="31">
        <f>IF(A304="", "", IFERROR(INDEX(Dashboard!$A$13:$A$35, MATCH(A304, Dashboard!$B$13:$B$35, 0)), ""))</f>
        <v/>
      </c>
    </row>
    <row r="305" ht="65" customHeight="1">
      <c r="A305" s="30" t="n"/>
      <c r="B305" s="30" t="n"/>
      <c r="C305" s="30" t="n"/>
      <c r="D305" s="30" t="n"/>
      <c r="E305" s="30" t="n"/>
      <c r="F305" s="30" t="n"/>
      <c r="G305" s="30" t="n"/>
      <c r="H305" s="30" t="n"/>
      <c r="I305" s="30" t="n"/>
      <c r="J305" s="30" t="n"/>
      <c r="K305" s="30" t="n"/>
      <c r="L305" s="30" t="n"/>
      <c r="M305" s="30" t="n"/>
      <c r="N305" s="30" t="n"/>
      <c r="O305" s="31">
        <f>IF(A305="", "", IFERROR(INDEX(Dashboard!$A$13:$A$35, MATCH(A305, Dashboard!$B$13:$B$35, 0)), ""))</f>
        <v/>
      </c>
    </row>
    <row r="306" ht="65" customHeight="1">
      <c r="A306" s="30" t="n"/>
      <c r="B306" s="30" t="n"/>
      <c r="C306" s="30" t="n"/>
      <c r="D306" s="30" t="n"/>
      <c r="E306" s="30" t="n"/>
      <c r="F306" s="30" t="n"/>
      <c r="G306" s="30" t="n"/>
      <c r="H306" s="30" t="n"/>
      <c r="I306" s="30" t="n"/>
      <c r="J306" s="30" t="n"/>
      <c r="K306" s="30" t="n"/>
      <c r="L306" s="30" t="n"/>
      <c r="M306" s="30" t="n"/>
      <c r="N306" s="30" t="n"/>
      <c r="O306" s="31">
        <f>IF(A306="", "", IFERROR(INDEX(Dashboard!$A$13:$A$35, MATCH(A306, Dashboard!$B$13:$B$35, 0)), ""))</f>
        <v/>
      </c>
    </row>
    <row r="307" ht="65" customHeight="1">
      <c r="A307" s="30" t="n"/>
      <c r="B307" s="30" t="n"/>
      <c r="C307" s="30" t="n"/>
      <c r="D307" s="30" t="n"/>
      <c r="E307" s="30" t="n"/>
      <c r="F307" s="30" t="n"/>
      <c r="G307" s="30" t="n"/>
      <c r="H307" s="30" t="n"/>
      <c r="I307" s="30" t="n"/>
      <c r="J307" s="30" t="n"/>
      <c r="K307" s="30" t="n"/>
      <c r="L307" s="30" t="n"/>
      <c r="M307" s="30" t="n"/>
      <c r="N307" s="30" t="n"/>
      <c r="O307" s="31">
        <f>IF(A307="", "", IFERROR(INDEX(Dashboard!$A$13:$A$35, MATCH(A307, Dashboard!$B$13:$B$35, 0)), ""))</f>
        <v/>
      </c>
    </row>
    <row r="308" ht="65" customHeight="1">
      <c r="A308" s="30" t="n"/>
      <c r="B308" s="30" t="n"/>
      <c r="C308" s="30" t="n"/>
      <c r="D308" s="30" t="n"/>
      <c r="E308" s="30" t="n"/>
      <c r="F308" s="30" t="n"/>
      <c r="G308" s="30" t="n"/>
      <c r="H308" s="30" t="n"/>
      <c r="I308" s="30" t="n"/>
      <c r="J308" s="30" t="n"/>
      <c r="K308" s="30" t="n"/>
      <c r="L308" s="30" t="n"/>
      <c r="M308" s="30" t="n"/>
      <c r="N308" s="30" t="n"/>
      <c r="O308" s="31">
        <f>IF(A308="", "", IFERROR(INDEX(Dashboard!$A$13:$A$35, MATCH(A308, Dashboard!$B$13:$B$35, 0)), ""))</f>
        <v/>
      </c>
    </row>
    <row r="309" ht="65" customHeight="1">
      <c r="A309" s="30" t="n"/>
      <c r="B309" s="30" t="n"/>
      <c r="C309" s="30" t="n"/>
      <c r="D309" s="30" t="n"/>
      <c r="E309" s="30" t="n"/>
      <c r="F309" s="30" t="n"/>
      <c r="G309" s="30" t="n"/>
      <c r="H309" s="30" t="n"/>
      <c r="I309" s="30" t="n"/>
      <c r="J309" s="30" t="n"/>
      <c r="K309" s="30" t="n"/>
      <c r="L309" s="30" t="n"/>
      <c r="M309" s="30" t="n"/>
      <c r="N309" s="30" t="n"/>
      <c r="O309" s="31">
        <f>IF(A309="", "", IFERROR(INDEX(Dashboard!$A$13:$A$35, MATCH(A309, Dashboard!$B$13:$B$35, 0)), ""))</f>
        <v/>
      </c>
    </row>
    <row r="310" ht="65" customHeight="1">
      <c r="A310" s="30" t="n"/>
      <c r="B310" s="30" t="n"/>
      <c r="C310" s="30" t="n"/>
      <c r="D310" s="30" t="n"/>
      <c r="E310" s="30" t="n"/>
      <c r="F310" s="30" t="n"/>
      <c r="G310" s="30" t="n"/>
      <c r="H310" s="30" t="n"/>
      <c r="I310" s="30" t="n"/>
      <c r="J310" s="30" t="n"/>
      <c r="K310" s="30" t="n"/>
      <c r="L310" s="30" t="n"/>
      <c r="M310" s="30" t="n"/>
      <c r="N310" s="30" t="n"/>
      <c r="O310" s="31">
        <f>IF(A310="", "", IFERROR(INDEX(Dashboard!$A$13:$A$35, MATCH(A310, Dashboard!$B$13:$B$35, 0)), ""))</f>
        <v/>
      </c>
    </row>
    <row r="311" ht="65" customHeight="1">
      <c r="A311" s="30" t="n"/>
      <c r="B311" s="30" t="n"/>
      <c r="C311" s="30" t="n"/>
      <c r="D311" s="30" t="n"/>
      <c r="E311" s="30" t="n"/>
      <c r="F311" s="30" t="n"/>
      <c r="G311" s="30" t="n"/>
      <c r="H311" s="30" t="n"/>
      <c r="I311" s="30" t="n"/>
      <c r="J311" s="30" t="n"/>
      <c r="K311" s="30" t="n"/>
      <c r="L311" s="30" t="n"/>
      <c r="M311" s="30" t="n"/>
      <c r="N311" s="30" t="n"/>
      <c r="O311" s="31">
        <f>IF(A311="", "", IFERROR(INDEX(Dashboard!$A$13:$A$35, MATCH(A311, Dashboard!$B$13:$B$35, 0)), ""))</f>
        <v/>
      </c>
    </row>
    <row r="312" ht="65" customHeight="1">
      <c r="A312" s="30" t="n"/>
      <c r="B312" s="30" t="n"/>
      <c r="C312" s="30" t="n"/>
      <c r="D312" s="30" t="n"/>
      <c r="E312" s="30" t="n"/>
      <c r="F312" s="30" t="n"/>
      <c r="G312" s="30" t="n"/>
      <c r="H312" s="30" t="n"/>
      <c r="I312" s="30" t="n"/>
      <c r="J312" s="30" t="n"/>
      <c r="K312" s="30" t="n"/>
      <c r="L312" s="30" t="n"/>
      <c r="M312" s="30" t="n"/>
      <c r="N312" s="30" t="n"/>
      <c r="O312" s="31">
        <f>IF(A312="", "", IFERROR(INDEX(Dashboard!$A$13:$A$35, MATCH(A312, Dashboard!$B$13:$B$35, 0)), ""))</f>
        <v/>
      </c>
    </row>
    <row r="313" ht="65" customHeight="1">
      <c r="A313" s="30" t="n"/>
      <c r="B313" s="30" t="n"/>
      <c r="C313" s="30" t="n"/>
      <c r="D313" s="30" t="n"/>
      <c r="E313" s="30" t="n"/>
      <c r="F313" s="30" t="n"/>
      <c r="G313" s="30" t="n"/>
      <c r="H313" s="30" t="n"/>
      <c r="I313" s="30" t="n"/>
      <c r="J313" s="30" t="n"/>
      <c r="K313" s="30" t="n"/>
      <c r="L313" s="30" t="n"/>
      <c r="M313" s="30" t="n"/>
      <c r="N313" s="30" t="n"/>
      <c r="O313" s="31">
        <f>IF(A313="", "", IFERROR(INDEX(Dashboard!$A$13:$A$35, MATCH(A313, Dashboard!$B$13:$B$35, 0)), ""))</f>
        <v/>
      </c>
    </row>
    <row r="314" ht="65" customHeight="1">
      <c r="A314" s="30" t="n"/>
      <c r="B314" s="30" t="n"/>
      <c r="C314" s="30" t="n"/>
      <c r="D314" s="30" t="n"/>
      <c r="E314" s="30" t="n"/>
      <c r="F314" s="30" t="n"/>
      <c r="G314" s="30" t="n"/>
      <c r="H314" s="30" t="n"/>
      <c r="I314" s="30" t="n"/>
      <c r="J314" s="30" t="n"/>
      <c r="K314" s="30" t="n"/>
      <c r="L314" s="30" t="n"/>
      <c r="M314" s="30" t="n"/>
      <c r="N314" s="30" t="n"/>
      <c r="O314" s="31">
        <f>IF(A314="", "", IFERROR(INDEX(Dashboard!$A$13:$A$35, MATCH(A314, Dashboard!$B$13:$B$35, 0)), ""))</f>
        <v/>
      </c>
    </row>
    <row r="315" ht="65" customHeight="1">
      <c r="A315" s="30" t="n"/>
      <c r="B315" s="30" t="n"/>
      <c r="C315" s="30" t="n"/>
      <c r="D315" s="30" t="n"/>
      <c r="E315" s="30" t="n"/>
      <c r="F315" s="30" t="n"/>
      <c r="G315" s="30" t="n"/>
      <c r="H315" s="30" t="n"/>
      <c r="I315" s="30" t="n"/>
      <c r="J315" s="30" t="n"/>
      <c r="K315" s="30" t="n"/>
      <c r="L315" s="30" t="n"/>
      <c r="M315" s="30" t="n"/>
      <c r="N315" s="30" t="n"/>
      <c r="O315" s="31">
        <f>IF(A315="", "", IFERROR(INDEX(Dashboard!$A$13:$A$35, MATCH(A315, Dashboard!$B$13:$B$35, 0)), ""))</f>
        <v/>
      </c>
    </row>
    <row r="316" ht="65" customHeight="1">
      <c r="A316" s="30" t="n"/>
      <c r="B316" s="30" t="n"/>
      <c r="C316" s="30" t="n"/>
      <c r="D316" s="30" t="n"/>
      <c r="E316" s="30" t="n"/>
      <c r="F316" s="30" t="n"/>
      <c r="G316" s="30" t="n"/>
      <c r="H316" s="30" t="n"/>
      <c r="I316" s="30" t="n"/>
      <c r="J316" s="30" t="n"/>
      <c r="K316" s="30" t="n"/>
      <c r="L316" s="30" t="n"/>
      <c r="M316" s="30" t="n"/>
      <c r="N316" s="30" t="n"/>
      <c r="O316" s="31">
        <f>IF(A316="", "", IFERROR(INDEX(Dashboard!$A$13:$A$35, MATCH(A316, Dashboard!$B$13:$B$35, 0)), ""))</f>
        <v/>
      </c>
    </row>
    <row r="317" ht="65" customHeight="1">
      <c r="A317" s="30" t="n"/>
      <c r="B317" s="30" t="n"/>
      <c r="C317" s="30" t="n"/>
      <c r="D317" s="30" t="n"/>
      <c r="E317" s="30" t="n"/>
      <c r="F317" s="30" t="n"/>
      <c r="G317" s="30" t="n"/>
      <c r="H317" s="30" t="n"/>
      <c r="I317" s="30" t="n"/>
      <c r="J317" s="30" t="n"/>
      <c r="K317" s="30" t="n"/>
      <c r="L317" s="30" t="n"/>
      <c r="M317" s="30" t="n"/>
      <c r="N317" s="30" t="n"/>
      <c r="O317" s="31">
        <f>IF(A317="", "", IFERROR(INDEX(Dashboard!$A$13:$A$35, MATCH(A317, Dashboard!$B$13:$B$35, 0)), ""))</f>
        <v/>
      </c>
    </row>
    <row r="318" ht="65" customHeight="1">
      <c r="A318" s="30" t="n"/>
      <c r="B318" s="30" t="n"/>
      <c r="C318" s="30" t="n"/>
      <c r="D318" s="30" t="n"/>
      <c r="E318" s="30" t="n"/>
      <c r="F318" s="30" t="n"/>
      <c r="G318" s="30" t="n"/>
      <c r="H318" s="30" t="n"/>
      <c r="I318" s="30" t="n"/>
      <c r="J318" s="30" t="n"/>
      <c r="K318" s="30" t="n"/>
      <c r="L318" s="30" t="n"/>
      <c r="M318" s="30" t="n"/>
      <c r="N318" s="30" t="n"/>
      <c r="O318" s="31">
        <f>IF(A318="", "", IFERROR(INDEX(Dashboard!$A$13:$A$35, MATCH(A318, Dashboard!$B$13:$B$35, 0)), ""))</f>
        <v/>
      </c>
    </row>
    <row r="319" ht="65" customHeight="1">
      <c r="A319" s="30" t="n"/>
      <c r="B319" s="30" t="n"/>
      <c r="C319" s="30" t="n"/>
      <c r="D319" s="30" t="n"/>
      <c r="E319" s="30" t="n"/>
      <c r="F319" s="30" t="n"/>
      <c r="G319" s="30" t="n"/>
      <c r="H319" s="30" t="n"/>
      <c r="I319" s="30" t="n"/>
      <c r="J319" s="30" t="n"/>
      <c r="K319" s="30" t="n"/>
      <c r="L319" s="30" t="n"/>
      <c r="M319" s="30" t="n"/>
      <c r="N319" s="30" t="n"/>
      <c r="O319" s="31">
        <f>IF(A319="", "", IFERROR(INDEX(Dashboard!$A$13:$A$35, MATCH(A319, Dashboard!$B$13:$B$35, 0)), ""))</f>
        <v/>
      </c>
    </row>
    <row r="320" ht="65" customHeight="1">
      <c r="A320" s="30" t="n"/>
      <c r="B320" s="30" t="n"/>
      <c r="C320" s="30" t="n"/>
      <c r="D320" s="30" t="n"/>
      <c r="E320" s="30" t="n"/>
      <c r="F320" s="30" t="n"/>
      <c r="G320" s="30" t="n"/>
      <c r="H320" s="30" t="n"/>
      <c r="I320" s="30" t="n"/>
      <c r="J320" s="30" t="n"/>
      <c r="K320" s="30" t="n"/>
      <c r="L320" s="30" t="n"/>
      <c r="M320" s="30" t="n"/>
      <c r="N320" s="30" t="n"/>
      <c r="O320" s="31">
        <f>IF(A320="", "", IFERROR(INDEX(Dashboard!$A$13:$A$35, MATCH(A320, Dashboard!$B$13:$B$35, 0)), ""))</f>
        <v/>
      </c>
    </row>
    <row r="321" ht="65" customHeight="1">
      <c r="A321" s="30" t="n"/>
      <c r="B321" s="30" t="n"/>
      <c r="C321" s="30" t="n"/>
      <c r="D321" s="30" t="n"/>
      <c r="E321" s="30" t="n"/>
      <c r="F321" s="30" t="n"/>
      <c r="G321" s="30" t="n"/>
      <c r="H321" s="30" t="n"/>
      <c r="I321" s="30" t="n"/>
      <c r="J321" s="30" t="n"/>
      <c r="K321" s="30" t="n"/>
      <c r="L321" s="30" t="n"/>
      <c r="M321" s="30" t="n"/>
      <c r="N321" s="30" t="n"/>
      <c r="O321" s="31">
        <f>IF(A321="", "", IFERROR(INDEX(Dashboard!$A$13:$A$35, MATCH(A321, Dashboard!$B$13:$B$35, 0)), ""))</f>
        <v/>
      </c>
    </row>
    <row r="322" ht="65" customHeight="1">
      <c r="A322" s="30" t="n"/>
      <c r="B322" s="30" t="n"/>
      <c r="C322" s="30" t="n"/>
      <c r="D322" s="30" t="n"/>
      <c r="E322" s="30" t="n"/>
      <c r="F322" s="30" t="n"/>
      <c r="G322" s="30" t="n"/>
      <c r="H322" s="30" t="n"/>
      <c r="I322" s="30" t="n"/>
      <c r="J322" s="30" t="n"/>
      <c r="K322" s="30" t="n"/>
      <c r="L322" s="30" t="n"/>
      <c r="M322" s="30" t="n"/>
      <c r="N322" s="30" t="n"/>
      <c r="O322" s="31">
        <f>IF(A322="", "", IFERROR(INDEX(Dashboard!$A$13:$A$35, MATCH(A322, Dashboard!$B$13:$B$35, 0)), ""))</f>
        <v/>
      </c>
    </row>
    <row r="323" ht="65" customHeight="1">
      <c r="A323" s="30" t="n"/>
      <c r="B323" s="30" t="n"/>
      <c r="C323" s="30" t="n"/>
      <c r="D323" s="30" t="n"/>
      <c r="E323" s="30" t="n"/>
      <c r="F323" s="30" t="n"/>
      <c r="G323" s="30" t="n"/>
      <c r="H323" s="30" t="n"/>
      <c r="I323" s="30" t="n"/>
      <c r="J323" s="30" t="n"/>
      <c r="K323" s="30" t="n"/>
      <c r="L323" s="30" t="n"/>
      <c r="M323" s="30" t="n"/>
      <c r="N323" s="30" t="n"/>
      <c r="O323" s="31">
        <f>IF(A323="", "", IFERROR(INDEX(Dashboard!$A$13:$A$35, MATCH(A323, Dashboard!$B$13:$B$35, 0)), ""))</f>
        <v/>
      </c>
    </row>
    <row r="324" ht="65" customHeight="1">
      <c r="A324" s="30" t="n"/>
      <c r="B324" s="30" t="n"/>
      <c r="C324" s="30" t="n"/>
      <c r="D324" s="30" t="n"/>
      <c r="E324" s="30" t="n"/>
      <c r="F324" s="30" t="n"/>
      <c r="G324" s="30" t="n"/>
      <c r="H324" s="30" t="n"/>
      <c r="I324" s="30" t="n"/>
      <c r="J324" s="30" t="n"/>
      <c r="K324" s="30" t="n"/>
      <c r="L324" s="30" t="n"/>
      <c r="M324" s="30" t="n"/>
      <c r="N324" s="30" t="n"/>
      <c r="O324" s="31">
        <f>IF(A324="", "", IFERROR(INDEX(Dashboard!$A$13:$A$35, MATCH(A324, Dashboard!$B$13:$B$35, 0)), ""))</f>
        <v/>
      </c>
    </row>
    <row r="325" ht="65" customHeight="1">
      <c r="A325" s="30" t="n"/>
      <c r="B325" s="30" t="n"/>
      <c r="C325" s="30" t="n"/>
      <c r="D325" s="30" t="n"/>
      <c r="E325" s="30" t="n"/>
      <c r="F325" s="30" t="n"/>
      <c r="G325" s="30" t="n"/>
      <c r="H325" s="30" t="n"/>
      <c r="I325" s="30" t="n"/>
      <c r="J325" s="30" t="n"/>
      <c r="K325" s="30" t="n"/>
      <c r="L325" s="30" t="n"/>
      <c r="M325" s="30" t="n"/>
      <c r="N325" s="30" t="n"/>
      <c r="O325" s="31">
        <f>IF(A325="", "", IFERROR(INDEX(Dashboard!$A$13:$A$35, MATCH(A325, Dashboard!$B$13:$B$35, 0)), ""))</f>
        <v/>
      </c>
    </row>
    <row r="326" ht="65" customHeight="1">
      <c r="A326" s="30" t="n"/>
      <c r="B326" s="30" t="n"/>
      <c r="C326" s="30" t="n"/>
      <c r="D326" s="30" t="n"/>
      <c r="E326" s="30" t="n"/>
      <c r="F326" s="30" t="n"/>
      <c r="G326" s="30" t="n"/>
      <c r="H326" s="30" t="n"/>
      <c r="I326" s="30" t="n"/>
      <c r="J326" s="30" t="n"/>
      <c r="K326" s="30" t="n"/>
      <c r="L326" s="30" t="n"/>
      <c r="M326" s="30" t="n"/>
      <c r="N326" s="30" t="n"/>
      <c r="O326" s="31">
        <f>IF(A326="", "", IFERROR(INDEX(Dashboard!$A$13:$A$35, MATCH(A326, Dashboard!$B$13:$B$35, 0)), ""))</f>
        <v/>
      </c>
    </row>
    <row r="327" ht="65" customHeight="1">
      <c r="A327" s="30" t="n"/>
      <c r="B327" s="30" t="n"/>
      <c r="C327" s="30" t="n"/>
      <c r="D327" s="30" t="n"/>
      <c r="E327" s="30" t="n"/>
      <c r="F327" s="30" t="n"/>
      <c r="G327" s="30" t="n"/>
      <c r="H327" s="30" t="n"/>
      <c r="I327" s="30" t="n"/>
      <c r="J327" s="30" t="n"/>
      <c r="K327" s="30" t="n"/>
      <c r="L327" s="30" t="n"/>
      <c r="M327" s="30" t="n"/>
      <c r="N327" s="30" t="n"/>
      <c r="O327" s="31">
        <f>IF(A327="", "", IFERROR(INDEX(Dashboard!$A$13:$A$35, MATCH(A327, Dashboard!$B$13:$B$35, 0)), ""))</f>
        <v/>
      </c>
    </row>
    <row r="328" ht="65" customHeight="1">
      <c r="A328" s="30" t="n"/>
      <c r="B328" s="30" t="n"/>
      <c r="C328" s="30" t="n"/>
      <c r="D328" s="30" t="n"/>
      <c r="E328" s="30" t="n"/>
      <c r="F328" s="30" t="n"/>
      <c r="G328" s="30" t="n"/>
      <c r="H328" s="30" t="n"/>
      <c r="I328" s="30" t="n"/>
      <c r="J328" s="30" t="n"/>
      <c r="K328" s="30" t="n"/>
      <c r="L328" s="30" t="n"/>
      <c r="M328" s="30" t="n"/>
      <c r="N328" s="30" t="n"/>
      <c r="O328" s="31">
        <f>IF(A328="", "", IFERROR(INDEX(Dashboard!$A$13:$A$35, MATCH(A328, Dashboard!$B$13:$B$35, 0)), ""))</f>
        <v/>
      </c>
    </row>
    <row r="329" ht="65" customHeight="1">
      <c r="A329" s="30" t="n"/>
      <c r="B329" s="30" t="n"/>
      <c r="C329" s="30" t="n"/>
      <c r="D329" s="30" t="n"/>
      <c r="E329" s="30" t="n"/>
      <c r="F329" s="30" t="n"/>
      <c r="G329" s="30" t="n"/>
      <c r="H329" s="30" t="n"/>
      <c r="I329" s="30" t="n"/>
      <c r="J329" s="30" t="n"/>
      <c r="K329" s="30" t="n"/>
      <c r="L329" s="30" t="n"/>
      <c r="M329" s="30" t="n"/>
      <c r="N329" s="30" t="n"/>
      <c r="O329" s="31">
        <f>IF(A329="", "", IFERROR(INDEX(Dashboard!$A$13:$A$35, MATCH(A329, Dashboard!$B$13:$B$35, 0)), ""))</f>
        <v/>
      </c>
    </row>
    <row r="330" ht="65" customHeight="1">
      <c r="A330" s="30" t="n"/>
      <c r="B330" s="30" t="n"/>
      <c r="C330" s="30" t="n"/>
      <c r="D330" s="30" t="n"/>
      <c r="E330" s="30" t="n"/>
      <c r="F330" s="30" t="n"/>
      <c r="G330" s="30" t="n"/>
      <c r="H330" s="30" t="n"/>
      <c r="I330" s="30" t="n"/>
      <c r="J330" s="30" t="n"/>
      <c r="K330" s="30" t="n"/>
      <c r="L330" s="30" t="n"/>
      <c r="M330" s="30" t="n"/>
      <c r="N330" s="30" t="n"/>
      <c r="O330" s="31">
        <f>IF(A330="", "", IFERROR(INDEX(Dashboard!$A$13:$A$35, MATCH(A330, Dashboard!$B$13:$B$35, 0)), ""))</f>
        <v/>
      </c>
    </row>
    <row r="331" ht="65" customHeight="1">
      <c r="A331" s="30" t="n"/>
      <c r="B331" s="30" t="n"/>
      <c r="C331" s="30" t="n"/>
      <c r="D331" s="30" t="n"/>
      <c r="E331" s="30" t="n"/>
      <c r="F331" s="30" t="n"/>
      <c r="G331" s="30" t="n"/>
      <c r="H331" s="30" t="n"/>
      <c r="I331" s="30" t="n"/>
      <c r="J331" s="30" t="n"/>
      <c r="K331" s="30" t="n"/>
      <c r="L331" s="30" t="n"/>
      <c r="M331" s="30" t="n"/>
      <c r="N331" s="30" t="n"/>
      <c r="O331" s="31">
        <f>IF(A331="", "", IFERROR(INDEX(Dashboard!$A$13:$A$35, MATCH(A331, Dashboard!$B$13:$B$35, 0)), ""))</f>
        <v/>
      </c>
    </row>
    <row r="332" ht="65" customHeight="1">
      <c r="A332" s="30" t="n"/>
      <c r="B332" s="30" t="n"/>
      <c r="C332" s="30" t="n"/>
      <c r="D332" s="30" t="n"/>
      <c r="E332" s="30" t="n"/>
      <c r="F332" s="30" t="n"/>
      <c r="G332" s="30" t="n"/>
      <c r="H332" s="30" t="n"/>
      <c r="I332" s="30" t="n"/>
      <c r="J332" s="30" t="n"/>
      <c r="K332" s="30" t="n"/>
      <c r="L332" s="30" t="n"/>
      <c r="M332" s="30" t="n"/>
      <c r="N332" s="30" t="n"/>
      <c r="O332" s="31">
        <f>IF(A332="", "", IFERROR(INDEX(Dashboard!$A$13:$A$35, MATCH(A332, Dashboard!$B$13:$B$35, 0)), ""))</f>
        <v/>
      </c>
    </row>
    <row r="333" ht="65" customHeight="1">
      <c r="A333" s="30" t="n"/>
      <c r="B333" s="30" t="n"/>
      <c r="C333" s="30" t="n"/>
      <c r="D333" s="30" t="n"/>
      <c r="E333" s="30" t="n"/>
      <c r="F333" s="30" t="n"/>
      <c r="G333" s="30" t="n"/>
      <c r="H333" s="30" t="n"/>
      <c r="I333" s="30" t="n"/>
      <c r="J333" s="30" t="n"/>
      <c r="K333" s="30" t="n"/>
      <c r="L333" s="30" t="n"/>
      <c r="M333" s="30" t="n"/>
      <c r="N333" s="30" t="n"/>
      <c r="O333" s="31">
        <f>IF(A333="", "", IFERROR(INDEX(Dashboard!$A$13:$A$35, MATCH(A333, Dashboard!$B$13:$B$35, 0)), ""))</f>
        <v/>
      </c>
    </row>
    <row r="334" ht="65" customHeight="1">
      <c r="A334" s="30" t="n"/>
      <c r="B334" s="30" t="n"/>
      <c r="C334" s="30" t="n"/>
      <c r="D334" s="30" t="n"/>
      <c r="E334" s="30" t="n"/>
      <c r="F334" s="30" t="n"/>
      <c r="G334" s="30" t="n"/>
      <c r="H334" s="30" t="n"/>
      <c r="I334" s="30" t="n"/>
      <c r="J334" s="30" t="n"/>
      <c r="K334" s="30" t="n"/>
      <c r="L334" s="30" t="n"/>
      <c r="M334" s="30" t="n"/>
      <c r="N334" s="30" t="n"/>
      <c r="O334" s="31">
        <f>IF(A334="", "", IFERROR(INDEX(Dashboard!$A$13:$A$35, MATCH(A334, Dashboard!$B$13:$B$35, 0)), ""))</f>
        <v/>
      </c>
    </row>
    <row r="335" ht="65" customHeight="1">
      <c r="A335" s="30" t="n"/>
      <c r="B335" s="30" t="n"/>
      <c r="C335" s="30" t="n"/>
      <c r="D335" s="30" t="n"/>
      <c r="E335" s="30" t="n"/>
      <c r="F335" s="30" t="n"/>
      <c r="G335" s="30" t="n"/>
      <c r="H335" s="30" t="n"/>
      <c r="I335" s="30" t="n"/>
      <c r="J335" s="30" t="n"/>
      <c r="K335" s="30" t="n"/>
      <c r="L335" s="30" t="n"/>
      <c r="M335" s="30" t="n"/>
      <c r="N335" s="30" t="n"/>
      <c r="O335" s="31">
        <f>IF(A335="", "", IFERROR(INDEX(Dashboard!$A$13:$A$35, MATCH(A335, Dashboard!$B$13:$B$35, 0)), ""))</f>
        <v/>
      </c>
    </row>
    <row r="336" ht="65" customHeight="1">
      <c r="A336" s="30" t="n"/>
      <c r="B336" s="30" t="n"/>
      <c r="C336" s="30" t="n"/>
      <c r="D336" s="30" t="n"/>
      <c r="E336" s="30" t="n"/>
      <c r="F336" s="30" t="n"/>
      <c r="G336" s="30" t="n"/>
      <c r="H336" s="30" t="n"/>
      <c r="I336" s="30" t="n"/>
      <c r="J336" s="30" t="n"/>
      <c r="K336" s="30" t="n"/>
      <c r="L336" s="30" t="n"/>
      <c r="M336" s="30" t="n"/>
      <c r="N336" s="30" t="n"/>
      <c r="O336" s="31">
        <f>IF(A336="", "", IFERROR(INDEX(Dashboard!$A$13:$A$35, MATCH(A336, Dashboard!$B$13:$B$35, 0)), ""))</f>
        <v/>
      </c>
    </row>
    <row r="337" ht="65" customHeight="1">
      <c r="A337" s="30" t="n"/>
      <c r="B337" s="30" t="n"/>
      <c r="C337" s="30" t="n"/>
      <c r="D337" s="30" t="n"/>
      <c r="E337" s="30" t="n"/>
      <c r="F337" s="30" t="n"/>
      <c r="G337" s="30" t="n"/>
      <c r="H337" s="30" t="n"/>
      <c r="I337" s="30" t="n"/>
      <c r="J337" s="30" t="n"/>
      <c r="K337" s="30" t="n"/>
      <c r="L337" s="30" t="n"/>
      <c r="M337" s="30" t="n"/>
      <c r="N337" s="30" t="n"/>
      <c r="O337" s="31">
        <f>IF(A337="", "", IFERROR(INDEX(Dashboard!$A$13:$A$35, MATCH(A337, Dashboard!$B$13:$B$35, 0)), ""))</f>
        <v/>
      </c>
    </row>
    <row r="338" ht="65" customHeight="1">
      <c r="A338" s="30" t="n"/>
      <c r="B338" s="30" t="n"/>
      <c r="C338" s="30" t="n"/>
      <c r="D338" s="30" t="n"/>
      <c r="E338" s="30" t="n"/>
      <c r="F338" s="30" t="n"/>
      <c r="G338" s="30" t="n"/>
      <c r="H338" s="30" t="n"/>
      <c r="I338" s="30" t="n"/>
      <c r="J338" s="30" t="n"/>
      <c r="K338" s="30" t="n"/>
      <c r="L338" s="30" t="n"/>
      <c r="M338" s="30" t="n"/>
      <c r="N338" s="30" t="n"/>
      <c r="O338" s="31">
        <f>IF(A338="", "", IFERROR(INDEX(Dashboard!$A$13:$A$35, MATCH(A338, Dashboard!$B$13:$B$35, 0)), ""))</f>
        <v/>
      </c>
    </row>
    <row r="339" ht="65" customHeight="1">
      <c r="A339" s="30" t="n"/>
      <c r="B339" s="30" t="n"/>
      <c r="C339" s="30" t="n"/>
      <c r="D339" s="30" t="n"/>
      <c r="E339" s="30" t="n"/>
      <c r="F339" s="30" t="n"/>
      <c r="G339" s="30" t="n"/>
      <c r="H339" s="30" t="n"/>
      <c r="I339" s="30" t="n"/>
      <c r="J339" s="30" t="n"/>
      <c r="K339" s="30" t="n"/>
      <c r="L339" s="30" t="n"/>
      <c r="M339" s="30" t="n"/>
      <c r="N339" s="30" t="n"/>
      <c r="O339" s="31">
        <f>IF(A339="", "", IFERROR(INDEX(Dashboard!$A$13:$A$35, MATCH(A339, Dashboard!$B$13:$B$35, 0)), ""))</f>
        <v/>
      </c>
    </row>
    <row r="340" ht="65" customHeight="1">
      <c r="A340" s="30" t="n"/>
      <c r="B340" s="30" t="n"/>
      <c r="C340" s="30" t="n"/>
      <c r="D340" s="30" t="n"/>
      <c r="E340" s="30" t="n"/>
      <c r="F340" s="30" t="n"/>
      <c r="G340" s="30" t="n"/>
      <c r="H340" s="30" t="n"/>
      <c r="I340" s="30" t="n"/>
      <c r="J340" s="30" t="n"/>
      <c r="K340" s="30" t="n"/>
      <c r="L340" s="30" t="n"/>
      <c r="M340" s="30" t="n"/>
      <c r="N340" s="30" t="n"/>
      <c r="O340" s="31">
        <f>IF(A340="", "", IFERROR(INDEX(Dashboard!$A$13:$A$35, MATCH(A340, Dashboard!$B$13:$B$35, 0)), ""))</f>
        <v/>
      </c>
    </row>
    <row r="341" ht="65" customHeight="1">
      <c r="A341" s="30" t="n"/>
      <c r="B341" s="30" t="n"/>
      <c r="C341" s="30" t="n"/>
      <c r="D341" s="30" t="n"/>
      <c r="E341" s="30" t="n"/>
      <c r="F341" s="30" t="n"/>
      <c r="G341" s="30" t="n"/>
      <c r="H341" s="30" t="n"/>
      <c r="I341" s="30" t="n"/>
      <c r="J341" s="30" t="n"/>
      <c r="K341" s="30" t="n"/>
      <c r="L341" s="30" t="n"/>
      <c r="M341" s="30" t="n"/>
      <c r="N341" s="30" t="n"/>
      <c r="O341" s="31">
        <f>IF(A341="", "", IFERROR(INDEX(Dashboard!$A$13:$A$35, MATCH(A341, Dashboard!$B$13:$B$35, 0)), ""))</f>
        <v/>
      </c>
    </row>
    <row r="342" ht="65" customHeight="1">
      <c r="A342" s="30" t="n"/>
      <c r="B342" s="30" t="n"/>
      <c r="C342" s="30" t="n"/>
      <c r="D342" s="30" t="n"/>
      <c r="E342" s="30" t="n"/>
      <c r="F342" s="30" t="n"/>
      <c r="G342" s="30" t="n"/>
      <c r="H342" s="30" t="n"/>
      <c r="I342" s="30" t="n"/>
      <c r="J342" s="30" t="n"/>
      <c r="K342" s="30" t="n"/>
      <c r="L342" s="30" t="n"/>
      <c r="M342" s="30" t="n"/>
      <c r="N342" s="30" t="n"/>
      <c r="O342" s="31">
        <f>IF(A342="", "", IFERROR(INDEX(Dashboard!$A$13:$A$35, MATCH(A342, Dashboard!$B$13:$B$35, 0)), ""))</f>
        <v/>
      </c>
    </row>
    <row r="343" ht="65" customHeight="1">
      <c r="A343" s="30" t="n"/>
      <c r="B343" s="30" t="n"/>
      <c r="C343" s="30" t="n"/>
      <c r="D343" s="30" t="n"/>
      <c r="E343" s="30" t="n"/>
      <c r="F343" s="30" t="n"/>
      <c r="G343" s="30" t="n"/>
      <c r="H343" s="30" t="n"/>
      <c r="I343" s="30" t="n"/>
      <c r="J343" s="30" t="n"/>
      <c r="K343" s="30" t="n"/>
      <c r="L343" s="30" t="n"/>
      <c r="M343" s="30" t="n"/>
      <c r="N343" s="30" t="n"/>
      <c r="O343" s="31">
        <f>IF(A343="", "", IFERROR(INDEX(Dashboard!$A$13:$A$35, MATCH(A343, Dashboard!$B$13:$B$35, 0)), ""))</f>
        <v/>
      </c>
    </row>
    <row r="344" ht="65" customHeight="1">
      <c r="A344" s="30" t="n"/>
      <c r="B344" s="30" t="n"/>
      <c r="C344" s="30" t="n"/>
      <c r="D344" s="30" t="n"/>
      <c r="E344" s="30" t="n"/>
      <c r="F344" s="30" t="n"/>
      <c r="G344" s="30" t="n"/>
      <c r="H344" s="30" t="n"/>
      <c r="I344" s="30" t="n"/>
      <c r="J344" s="30" t="n"/>
      <c r="K344" s="30" t="n"/>
      <c r="L344" s="30" t="n"/>
      <c r="M344" s="30" t="n"/>
      <c r="N344" s="30" t="n"/>
      <c r="O344" s="31">
        <f>IF(A344="", "", IFERROR(INDEX(Dashboard!$A$13:$A$35, MATCH(A344, Dashboard!$B$13:$B$35, 0)), ""))</f>
        <v/>
      </c>
    </row>
    <row r="345" ht="65" customHeight="1">
      <c r="A345" s="30" t="n"/>
      <c r="B345" s="30" t="n"/>
      <c r="C345" s="30" t="n"/>
      <c r="D345" s="30" t="n"/>
      <c r="E345" s="30" t="n"/>
      <c r="F345" s="30" t="n"/>
      <c r="G345" s="30" t="n"/>
      <c r="H345" s="30" t="n"/>
      <c r="I345" s="30" t="n"/>
      <c r="J345" s="30" t="n"/>
      <c r="K345" s="30" t="n"/>
      <c r="L345" s="30" t="n"/>
      <c r="M345" s="30" t="n"/>
      <c r="N345" s="30" t="n"/>
      <c r="O345" s="31">
        <f>IF(A345="", "", IFERROR(INDEX(Dashboard!$A$13:$A$35, MATCH(A345, Dashboard!$B$13:$B$35, 0)), ""))</f>
        <v/>
      </c>
    </row>
    <row r="346" ht="65" customHeight="1">
      <c r="A346" s="30" t="n"/>
      <c r="B346" s="30" t="n"/>
      <c r="C346" s="30" t="n"/>
      <c r="D346" s="30" t="n"/>
      <c r="E346" s="30" t="n"/>
      <c r="F346" s="30" t="n"/>
      <c r="G346" s="30" t="n"/>
      <c r="H346" s="30" t="n"/>
      <c r="I346" s="30" t="n"/>
      <c r="J346" s="30" t="n"/>
      <c r="K346" s="30" t="n"/>
      <c r="L346" s="30" t="n"/>
      <c r="M346" s="30" t="n"/>
      <c r="N346" s="30" t="n"/>
      <c r="O346" s="31">
        <f>IF(A346="", "", IFERROR(INDEX(Dashboard!$A$13:$A$35, MATCH(A346, Dashboard!$B$13:$B$35, 0)), ""))</f>
        <v/>
      </c>
    </row>
    <row r="347" ht="65" customHeight="1">
      <c r="A347" s="30" t="n"/>
      <c r="B347" s="30" t="n"/>
      <c r="C347" s="30" t="n"/>
      <c r="D347" s="30" t="n"/>
      <c r="E347" s="30" t="n"/>
      <c r="F347" s="30" t="n"/>
      <c r="G347" s="30" t="n"/>
      <c r="H347" s="30" t="n"/>
      <c r="I347" s="30" t="n"/>
      <c r="J347" s="30" t="n"/>
      <c r="K347" s="30" t="n"/>
      <c r="L347" s="30" t="n"/>
      <c r="M347" s="30" t="n"/>
      <c r="N347" s="30" t="n"/>
      <c r="O347" s="31">
        <f>IF(A347="", "", IFERROR(INDEX(Dashboard!$A$13:$A$35, MATCH(A347, Dashboard!$B$13:$B$35, 0)), ""))</f>
        <v/>
      </c>
    </row>
    <row r="348" ht="65" customHeight="1">
      <c r="A348" s="30" t="n"/>
      <c r="B348" s="30" t="n"/>
      <c r="C348" s="30" t="n"/>
      <c r="D348" s="30" t="n"/>
      <c r="E348" s="30" t="n"/>
      <c r="F348" s="30" t="n"/>
      <c r="G348" s="30" t="n"/>
      <c r="H348" s="30" t="n"/>
      <c r="I348" s="30" t="n"/>
      <c r="J348" s="30" t="n"/>
      <c r="K348" s="30" t="n"/>
      <c r="L348" s="30" t="n"/>
      <c r="M348" s="30" t="n"/>
      <c r="N348" s="30" t="n"/>
      <c r="O348" s="31">
        <f>IF(A348="", "", IFERROR(INDEX(Dashboard!$A$13:$A$35, MATCH(A348, Dashboard!$B$13:$B$35, 0)), ""))</f>
        <v/>
      </c>
    </row>
    <row r="349" ht="65" customHeight="1">
      <c r="A349" s="30" t="n"/>
      <c r="B349" s="30" t="n"/>
      <c r="C349" s="30" t="n"/>
      <c r="D349" s="30" t="n"/>
      <c r="E349" s="30" t="n"/>
      <c r="F349" s="30" t="n"/>
      <c r="G349" s="30" t="n"/>
      <c r="H349" s="30" t="n"/>
      <c r="I349" s="30" t="n"/>
      <c r="J349" s="30" t="n"/>
      <c r="K349" s="30" t="n"/>
      <c r="L349" s="30" t="n"/>
      <c r="M349" s="30" t="n"/>
      <c r="N349" s="30" t="n"/>
      <c r="O349" s="31">
        <f>IF(A349="", "", IFERROR(INDEX(Dashboard!$A$13:$A$35, MATCH(A349, Dashboard!$B$13:$B$35, 0)), ""))</f>
        <v/>
      </c>
    </row>
    <row r="350" ht="65" customHeight="1">
      <c r="A350" s="30" t="n"/>
      <c r="B350" s="30" t="n"/>
      <c r="C350" s="30" t="n"/>
      <c r="D350" s="30" t="n"/>
      <c r="E350" s="30" t="n"/>
      <c r="F350" s="30" t="n"/>
      <c r="G350" s="30" t="n"/>
      <c r="H350" s="30" t="n"/>
      <c r="I350" s="30" t="n"/>
      <c r="J350" s="30" t="n"/>
      <c r="K350" s="30" t="n"/>
      <c r="L350" s="30" t="n"/>
      <c r="M350" s="30" t="n"/>
      <c r="N350" s="30" t="n"/>
      <c r="O350" s="31">
        <f>IF(A350="", "", IFERROR(INDEX(Dashboard!$A$13:$A$35, MATCH(A350, Dashboard!$B$13:$B$35, 0)), ""))</f>
        <v/>
      </c>
    </row>
    <row r="351" ht="65" customHeight="1">
      <c r="A351" s="30" t="n"/>
      <c r="B351" s="30" t="n"/>
      <c r="C351" s="30" t="n"/>
      <c r="D351" s="30" t="n"/>
      <c r="E351" s="30" t="n"/>
      <c r="F351" s="30" t="n"/>
      <c r="G351" s="30" t="n"/>
      <c r="H351" s="30" t="n"/>
      <c r="I351" s="30" t="n"/>
      <c r="J351" s="30" t="n"/>
      <c r="K351" s="30" t="n"/>
      <c r="L351" s="30" t="n"/>
      <c r="M351" s="30" t="n"/>
      <c r="N351" s="30" t="n"/>
      <c r="O351" s="31">
        <f>IF(A351="", "", IFERROR(INDEX(Dashboard!$A$13:$A$35, MATCH(A351, Dashboard!$B$13:$B$35, 0)), ""))</f>
        <v/>
      </c>
    </row>
    <row r="352" ht="65" customHeight="1">
      <c r="A352" s="30" t="n"/>
      <c r="B352" s="30" t="n"/>
      <c r="C352" s="30" t="n"/>
      <c r="D352" s="30" t="n"/>
      <c r="E352" s="30" t="n"/>
      <c r="F352" s="30" t="n"/>
      <c r="G352" s="30" t="n"/>
      <c r="H352" s="30" t="n"/>
      <c r="I352" s="30" t="n"/>
      <c r="J352" s="30" t="n"/>
      <c r="K352" s="30" t="n"/>
      <c r="L352" s="30" t="n"/>
      <c r="M352" s="30" t="n"/>
      <c r="N352" s="30" t="n"/>
      <c r="O352" s="31">
        <f>IF(A352="", "", IFERROR(INDEX(Dashboard!$A$13:$A$35, MATCH(A352, Dashboard!$B$13:$B$35, 0)), ""))</f>
        <v/>
      </c>
    </row>
    <row r="353" ht="65" customHeight="1">
      <c r="A353" s="30" t="n"/>
      <c r="B353" s="30" t="n"/>
      <c r="C353" s="30" t="n"/>
      <c r="D353" s="30" t="n"/>
      <c r="E353" s="30" t="n"/>
      <c r="F353" s="30" t="n"/>
      <c r="G353" s="30" t="n"/>
      <c r="H353" s="30" t="n"/>
      <c r="I353" s="30" t="n"/>
      <c r="J353" s="30" t="n"/>
      <c r="K353" s="30" t="n"/>
      <c r="L353" s="30" t="n"/>
      <c r="M353" s="30" t="n"/>
      <c r="N353" s="30" t="n"/>
      <c r="O353" s="31">
        <f>IF(A353="", "", IFERROR(INDEX(Dashboard!$A$13:$A$35, MATCH(A353, Dashboard!$B$13:$B$35, 0)), ""))</f>
        <v/>
      </c>
    </row>
    <row r="354" ht="65" customHeight="1">
      <c r="A354" s="30" t="n"/>
      <c r="B354" s="30" t="n"/>
      <c r="C354" s="30" t="n"/>
      <c r="D354" s="30" t="n"/>
      <c r="E354" s="30" t="n"/>
      <c r="F354" s="30" t="n"/>
      <c r="G354" s="30" t="n"/>
      <c r="H354" s="30" t="n"/>
      <c r="I354" s="30" t="n"/>
      <c r="J354" s="30" t="n"/>
      <c r="K354" s="30" t="n"/>
      <c r="L354" s="30" t="n"/>
      <c r="M354" s="30" t="n"/>
      <c r="N354" s="30" t="n"/>
      <c r="O354" s="31">
        <f>IF(A354="", "", IFERROR(INDEX(Dashboard!$A$13:$A$35, MATCH(A354, Dashboard!$B$13:$B$35, 0)), ""))</f>
        <v/>
      </c>
    </row>
    <row r="355" ht="65" customHeight="1">
      <c r="A355" s="30" t="n"/>
      <c r="B355" s="30" t="n"/>
      <c r="C355" s="30" t="n"/>
      <c r="D355" s="30" t="n"/>
      <c r="E355" s="30" t="n"/>
      <c r="F355" s="30" t="n"/>
      <c r="G355" s="30" t="n"/>
      <c r="H355" s="30" t="n"/>
      <c r="I355" s="30" t="n"/>
      <c r="J355" s="30" t="n"/>
      <c r="K355" s="30" t="n"/>
      <c r="L355" s="30" t="n"/>
      <c r="M355" s="30" t="n"/>
      <c r="N355" s="30" t="n"/>
      <c r="O355" s="31">
        <f>IF(A355="", "", IFERROR(INDEX(Dashboard!$A$13:$A$35, MATCH(A355, Dashboard!$B$13:$B$35, 0)), ""))</f>
        <v/>
      </c>
    </row>
    <row r="356" ht="65" customHeight="1">
      <c r="A356" s="30" t="n"/>
      <c r="B356" s="30" t="n"/>
      <c r="C356" s="30" t="n"/>
      <c r="D356" s="30" t="n"/>
      <c r="E356" s="30" t="n"/>
      <c r="F356" s="30" t="n"/>
      <c r="G356" s="30" t="n"/>
      <c r="H356" s="30" t="n"/>
      <c r="I356" s="30" t="n"/>
      <c r="J356" s="30" t="n"/>
      <c r="K356" s="30" t="n"/>
      <c r="L356" s="30" t="n"/>
      <c r="M356" s="30" t="n"/>
      <c r="N356" s="30" t="n"/>
      <c r="O356" s="31">
        <f>IF(A356="", "", IFERROR(INDEX(Dashboard!$A$13:$A$35, MATCH(A356, Dashboard!$B$13:$B$35, 0)), ""))</f>
        <v/>
      </c>
    </row>
    <row r="357" ht="65" customHeight="1">
      <c r="A357" s="30" t="n"/>
      <c r="B357" s="30" t="n"/>
      <c r="C357" s="30" t="n"/>
      <c r="D357" s="30" t="n"/>
      <c r="E357" s="30" t="n"/>
      <c r="F357" s="30" t="n"/>
      <c r="G357" s="30" t="n"/>
      <c r="H357" s="30" t="n"/>
      <c r="I357" s="30" t="n"/>
      <c r="J357" s="30" t="n"/>
      <c r="K357" s="30" t="n"/>
      <c r="L357" s="30" t="n"/>
      <c r="M357" s="30" t="n"/>
      <c r="N357" s="30" t="n"/>
      <c r="O357" s="31">
        <f>IF(A357="", "", IFERROR(INDEX(Dashboard!$A$13:$A$35, MATCH(A357, Dashboard!$B$13:$B$35, 0)), ""))</f>
        <v/>
      </c>
    </row>
    <row r="358" ht="65" customHeight="1">
      <c r="A358" s="30" t="n"/>
      <c r="B358" s="30" t="n"/>
      <c r="C358" s="30" t="n"/>
      <c r="D358" s="30" t="n"/>
      <c r="E358" s="30" t="n"/>
      <c r="F358" s="30" t="n"/>
      <c r="G358" s="30" t="n"/>
      <c r="H358" s="30" t="n"/>
      <c r="I358" s="30" t="n"/>
      <c r="J358" s="30" t="n"/>
      <c r="K358" s="30" t="n"/>
      <c r="L358" s="30" t="n"/>
      <c r="M358" s="30" t="n"/>
      <c r="N358" s="30" t="n"/>
      <c r="O358" s="31">
        <f>IF(A358="", "", IFERROR(INDEX(Dashboard!$A$13:$A$35, MATCH(A358, Dashboard!$B$13:$B$35, 0)), ""))</f>
        <v/>
      </c>
    </row>
    <row r="359" ht="65" customHeight="1">
      <c r="A359" s="30" t="n"/>
      <c r="B359" s="30" t="n"/>
      <c r="C359" s="30" t="n"/>
      <c r="D359" s="30" t="n"/>
      <c r="E359" s="30" t="n"/>
      <c r="F359" s="30" t="n"/>
      <c r="G359" s="30" t="n"/>
      <c r="H359" s="30" t="n"/>
      <c r="I359" s="30" t="n"/>
      <c r="J359" s="30" t="n"/>
      <c r="K359" s="30" t="n"/>
      <c r="L359" s="30" t="n"/>
      <c r="M359" s="30" t="n"/>
      <c r="N359" s="30" t="n"/>
      <c r="O359" s="31">
        <f>IF(A359="", "", IFERROR(INDEX(Dashboard!$A$13:$A$35, MATCH(A359, Dashboard!$B$13:$B$35, 0)), ""))</f>
        <v/>
      </c>
    </row>
    <row r="360" ht="65" customHeight="1">
      <c r="A360" s="30" t="n"/>
      <c r="B360" s="30" t="n"/>
      <c r="C360" s="30" t="n"/>
      <c r="D360" s="30" t="n"/>
      <c r="E360" s="30" t="n"/>
      <c r="F360" s="30" t="n"/>
      <c r="G360" s="30" t="n"/>
      <c r="H360" s="30" t="n"/>
      <c r="I360" s="30" t="n"/>
      <c r="J360" s="30" t="n"/>
      <c r="K360" s="30" t="n"/>
      <c r="L360" s="30" t="n"/>
      <c r="M360" s="30" t="n"/>
      <c r="N360" s="30" t="n"/>
      <c r="O360" s="31">
        <f>IF(A360="", "", IFERROR(INDEX(Dashboard!$A$13:$A$35, MATCH(A360, Dashboard!$B$13:$B$35, 0)), ""))</f>
        <v/>
      </c>
    </row>
    <row r="361" ht="65" customHeight="1">
      <c r="A361" s="30" t="n"/>
      <c r="B361" s="30" t="n"/>
      <c r="C361" s="30" t="n"/>
      <c r="D361" s="30" t="n"/>
      <c r="E361" s="30" t="n"/>
      <c r="F361" s="30" t="n"/>
      <c r="G361" s="30" t="n"/>
      <c r="H361" s="30" t="n"/>
      <c r="I361" s="30" t="n"/>
      <c r="J361" s="30" t="n"/>
      <c r="K361" s="30" t="n"/>
      <c r="L361" s="30" t="n"/>
      <c r="M361" s="30" t="n"/>
      <c r="N361" s="30" t="n"/>
      <c r="O361" s="31">
        <f>IF(A361="", "", IFERROR(INDEX(Dashboard!$A$13:$A$35, MATCH(A361, Dashboard!$B$13:$B$35, 0)), ""))</f>
        <v/>
      </c>
    </row>
    <row r="362" ht="65" customHeight="1">
      <c r="A362" s="30" t="n"/>
      <c r="B362" s="30" t="n"/>
      <c r="C362" s="30" t="n"/>
      <c r="D362" s="30" t="n"/>
      <c r="E362" s="30" t="n"/>
      <c r="F362" s="30" t="n"/>
      <c r="G362" s="30" t="n"/>
      <c r="H362" s="30" t="n"/>
      <c r="I362" s="30" t="n"/>
      <c r="J362" s="30" t="n"/>
      <c r="K362" s="30" t="n"/>
      <c r="L362" s="30" t="n"/>
      <c r="M362" s="30" t="n"/>
      <c r="N362" s="30" t="n"/>
      <c r="O362" s="31">
        <f>IF(A362="", "", IFERROR(INDEX(Dashboard!$A$13:$A$35, MATCH(A362, Dashboard!$B$13:$B$35, 0)), ""))</f>
        <v/>
      </c>
    </row>
    <row r="363" ht="65" customHeight="1">
      <c r="A363" s="30" t="n"/>
      <c r="B363" s="30" t="n"/>
      <c r="C363" s="30" t="n"/>
      <c r="D363" s="30" t="n"/>
      <c r="E363" s="30" t="n"/>
      <c r="F363" s="30" t="n"/>
      <c r="G363" s="30" t="n"/>
      <c r="H363" s="30" t="n"/>
      <c r="I363" s="30" t="n"/>
      <c r="J363" s="30" t="n"/>
      <c r="K363" s="30" t="n"/>
      <c r="L363" s="30" t="n"/>
      <c r="M363" s="30" t="n"/>
      <c r="N363" s="30" t="n"/>
      <c r="O363" s="31">
        <f>IF(A363="", "", IFERROR(INDEX(Dashboard!$A$13:$A$35, MATCH(A363, Dashboard!$B$13:$B$35, 0)), ""))</f>
        <v/>
      </c>
    </row>
    <row r="364" ht="65" customHeight="1">
      <c r="A364" s="30" t="n"/>
      <c r="B364" s="30" t="n"/>
      <c r="C364" s="30" t="n"/>
      <c r="D364" s="30" t="n"/>
      <c r="E364" s="30" t="n"/>
      <c r="F364" s="30" t="n"/>
      <c r="G364" s="30" t="n"/>
      <c r="H364" s="30" t="n"/>
      <c r="I364" s="30" t="n"/>
      <c r="J364" s="30" t="n"/>
      <c r="K364" s="30" t="n"/>
      <c r="L364" s="30" t="n"/>
      <c r="M364" s="30" t="n"/>
      <c r="N364" s="30" t="n"/>
      <c r="O364" s="31">
        <f>IF(A364="", "", IFERROR(INDEX(Dashboard!$A$13:$A$35, MATCH(A364, Dashboard!$B$13:$B$35, 0)), ""))</f>
        <v/>
      </c>
    </row>
    <row r="365" ht="65" customHeight="1">
      <c r="A365" s="30" t="n"/>
      <c r="B365" s="30" t="n"/>
      <c r="C365" s="30" t="n"/>
      <c r="D365" s="30" t="n"/>
      <c r="E365" s="30" t="n"/>
      <c r="F365" s="30" t="n"/>
      <c r="G365" s="30" t="n"/>
      <c r="H365" s="30" t="n"/>
      <c r="I365" s="30" t="n"/>
      <c r="J365" s="30" t="n"/>
      <c r="K365" s="30" t="n"/>
      <c r="L365" s="30" t="n"/>
      <c r="M365" s="30" t="n"/>
      <c r="N365" s="30" t="n"/>
      <c r="O365" s="31">
        <f>IF(A365="", "", IFERROR(INDEX(Dashboard!$A$13:$A$35, MATCH(A365, Dashboard!$B$13:$B$35, 0)), ""))</f>
        <v/>
      </c>
    </row>
    <row r="366" ht="65" customHeight="1">
      <c r="A366" s="30" t="n"/>
      <c r="B366" s="30" t="n"/>
      <c r="C366" s="30" t="n"/>
      <c r="D366" s="30" t="n"/>
      <c r="E366" s="30" t="n"/>
      <c r="F366" s="30" t="n"/>
      <c r="G366" s="30" t="n"/>
      <c r="H366" s="30" t="n"/>
      <c r="I366" s="30" t="n"/>
      <c r="J366" s="30" t="n"/>
      <c r="K366" s="30" t="n"/>
      <c r="L366" s="30" t="n"/>
      <c r="M366" s="30" t="n"/>
      <c r="N366" s="30" t="n"/>
      <c r="O366" s="31">
        <f>IF(A366="", "", IFERROR(INDEX(Dashboard!$A$13:$A$35, MATCH(A366, Dashboard!$B$13:$B$35, 0)), ""))</f>
        <v/>
      </c>
    </row>
    <row r="367" ht="65" customHeight="1">
      <c r="A367" s="30" t="n"/>
      <c r="B367" s="30" t="n"/>
      <c r="C367" s="30" t="n"/>
      <c r="D367" s="30" t="n"/>
      <c r="E367" s="30" t="n"/>
      <c r="F367" s="30" t="n"/>
      <c r="G367" s="30" t="n"/>
      <c r="H367" s="30" t="n"/>
      <c r="I367" s="30" t="n"/>
      <c r="J367" s="30" t="n"/>
      <c r="K367" s="30" t="n"/>
      <c r="L367" s="30" t="n"/>
      <c r="M367" s="30" t="n"/>
      <c r="N367" s="30" t="n"/>
      <c r="O367" s="31">
        <f>IF(A367="", "", IFERROR(INDEX(Dashboard!$A$13:$A$35, MATCH(A367, Dashboard!$B$13:$B$35, 0)), ""))</f>
        <v/>
      </c>
    </row>
    <row r="368" ht="65" customHeight="1">
      <c r="A368" s="30" t="n"/>
      <c r="B368" s="30" t="n"/>
      <c r="C368" s="30" t="n"/>
      <c r="D368" s="30" t="n"/>
      <c r="E368" s="30" t="n"/>
      <c r="F368" s="30" t="n"/>
      <c r="G368" s="30" t="n"/>
      <c r="H368" s="30" t="n"/>
      <c r="I368" s="30" t="n"/>
      <c r="J368" s="30" t="n"/>
      <c r="K368" s="30" t="n"/>
      <c r="L368" s="30" t="n"/>
      <c r="M368" s="30" t="n"/>
      <c r="N368" s="30" t="n"/>
      <c r="O368" s="31">
        <f>IF(A368="", "", IFERROR(INDEX(Dashboard!$A$13:$A$35, MATCH(A368, Dashboard!$B$13:$B$35, 0)), ""))</f>
        <v/>
      </c>
    </row>
    <row r="369" ht="65" customHeight="1">
      <c r="A369" s="30" t="n"/>
      <c r="B369" s="30" t="n"/>
      <c r="C369" s="30" t="n"/>
      <c r="D369" s="30" t="n"/>
      <c r="E369" s="30" t="n"/>
      <c r="F369" s="30" t="n"/>
      <c r="G369" s="30" t="n"/>
      <c r="H369" s="30" t="n"/>
      <c r="I369" s="30" t="n"/>
      <c r="J369" s="30" t="n"/>
      <c r="K369" s="30" t="n"/>
      <c r="L369" s="30" t="n"/>
      <c r="M369" s="30" t="n"/>
      <c r="N369" s="30" t="n"/>
      <c r="O369" s="31">
        <f>IF(A369="", "", IFERROR(INDEX(Dashboard!$A$13:$A$35, MATCH(A369, Dashboard!$B$13:$B$35, 0)), ""))</f>
        <v/>
      </c>
    </row>
    <row r="370" ht="65" customHeight="1">
      <c r="A370" s="30" t="n"/>
      <c r="B370" s="30" t="n"/>
      <c r="C370" s="30" t="n"/>
      <c r="D370" s="30" t="n"/>
      <c r="E370" s="30" t="n"/>
      <c r="F370" s="30" t="n"/>
      <c r="G370" s="30" t="n"/>
      <c r="H370" s="30" t="n"/>
      <c r="I370" s="30" t="n"/>
      <c r="J370" s="30" t="n"/>
      <c r="K370" s="30" t="n"/>
      <c r="L370" s="30" t="n"/>
      <c r="M370" s="30" t="n"/>
      <c r="N370" s="30" t="n"/>
      <c r="O370" s="31">
        <f>IF(A370="", "", IFERROR(INDEX(Dashboard!$A$13:$A$35, MATCH(A370, Dashboard!$B$13:$B$35, 0)), ""))</f>
        <v/>
      </c>
    </row>
    <row r="371" ht="65" customHeight="1">
      <c r="A371" s="30" t="n"/>
      <c r="B371" s="30" t="n"/>
      <c r="C371" s="30" t="n"/>
      <c r="D371" s="30" t="n"/>
      <c r="E371" s="30" t="n"/>
      <c r="F371" s="30" t="n"/>
      <c r="G371" s="30" t="n"/>
      <c r="H371" s="30" t="n"/>
      <c r="I371" s="30" t="n"/>
      <c r="J371" s="30" t="n"/>
      <c r="K371" s="30" t="n"/>
      <c r="L371" s="30" t="n"/>
      <c r="M371" s="30" t="n"/>
      <c r="N371" s="30" t="n"/>
      <c r="O371" s="31">
        <f>IF(A371="", "", IFERROR(INDEX(Dashboard!$A$13:$A$35, MATCH(A371, Dashboard!$B$13:$B$35, 0)), ""))</f>
        <v/>
      </c>
    </row>
    <row r="372" ht="65" customHeight="1">
      <c r="A372" s="30" t="n"/>
      <c r="B372" s="30" t="n"/>
      <c r="C372" s="30" t="n"/>
      <c r="D372" s="30" t="n"/>
      <c r="E372" s="30" t="n"/>
      <c r="F372" s="30" t="n"/>
      <c r="G372" s="30" t="n"/>
      <c r="H372" s="30" t="n"/>
      <c r="I372" s="30" t="n"/>
      <c r="J372" s="30" t="n"/>
      <c r="K372" s="30" t="n"/>
      <c r="L372" s="30" t="n"/>
      <c r="M372" s="30" t="n"/>
      <c r="N372" s="30" t="n"/>
      <c r="O372" s="31">
        <f>IF(A372="", "", IFERROR(INDEX(Dashboard!$A$13:$A$35, MATCH(A372, Dashboard!$B$13:$B$35, 0)), ""))</f>
        <v/>
      </c>
    </row>
    <row r="373" ht="65" customHeight="1">
      <c r="A373" s="30" t="n"/>
      <c r="B373" s="30" t="n"/>
      <c r="C373" s="30" t="n"/>
      <c r="D373" s="30" t="n"/>
      <c r="E373" s="30" t="n"/>
      <c r="F373" s="30" t="n"/>
      <c r="G373" s="30" t="n"/>
      <c r="H373" s="30" t="n"/>
      <c r="I373" s="30" t="n"/>
      <c r="J373" s="30" t="n"/>
      <c r="K373" s="30" t="n"/>
      <c r="L373" s="30" t="n"/>
      <c r="M373" s="30" t="n"/>
      <c r="N373" s="30" t="n"/>
      <c r="O373" s="31">
        <f>IF(A373="", "", IFERROR(INDEX(Dashboard!$A$13:$A$35, MATCH(A373, Dashboard!$B$13:$B$35, 0)), ""))</f>
        <v/>
      </c>
    </row>
    <row r="374" ht="65" customHeight="1">
      <c r="A374" s="30" t="n"/>
      <c r="B374" s="30" t="n"/>
      <c r="C374" s="30" t="n"/>
      <c r="D374" s="30" t="n"/>
      <c r="E374" s="30" t="n"/>
      <c r="F374" s="30" t="n"/>
      <c r="G374" s="30" t="n"/>
      <c r="H374" s="30" t="n"/>
      <c r="I374" s="30" t="n"/>
      <c r="J374" s="30" t="n"/>
      <c r="K374" s="30" t="n"/>
      <c r="L374" s="30" t="n"/>
      <c r="M374" s="30" t="n"/>
      <c r="N374" s="30" t="n"/>
      <c r="O374" s="31">
        <f>IF(A374="", "", IFERROR(INDEX(Dashboard!$A$13:$A$35, MATCH(A374, Dashboard!$B$13:$B$35, 0)), ""))</f>
        <v/>
      </c>
    </row>
    <row r="375" ht="65" customHeight="1">
      <c r="A375" s="30" t="n"/>
      <c r="B375" s="30" t="n"/>
      <c r="C375" s="30" t="n"/>
      <c r="D375" s="30" t="n"/>
      <c r="E375" s="30" t="n"/>
      <c r="F375" s="30" t="n"/>
      <c r="G375" s="30" t="n"/>
      <c r="H375" s="30" t="n"/>
      <c r="I375" s="30" t="n"/>
      <c r="J375" s="30" t="n"/>
      <c r="K375" s="30" t="n"/>
      <c r="L375" s="30" t="n"/>
      <c r="M375" s="30" t="n"/>
      <c r="N375" s="30" t="n"/>
      <c r="O375" s="31">
        <f>IF(A375="", "", IFERROR(INDEX(Dashboard!$A$13:$A$35, MATCH(A375, Dashboard!$B$13:$B$35, 0)), ""))</f>
        <v/>
      </c>
    </row>
    <row r="376" ht="65" customHeight="1">
      <c r="A376" s="30" t="n"/>
      <c r="B376" s="30" t="n"/>
      <c r="C376" s="30" t="n"/>
      <c r="D376" s="30" t="n"/>
      <c r="E376" s="30" t="n"/>
      <c r="F376" s="30" t="n"/>
      <c r="G376" s="30" t="n"/>
      <c r="H376" s="30" t="n"/>
      <c r="I376" s="30" t="n"/>
      <c r="J376" s="30" t="n"/>
      <c r="K376" s="30" t="n"/>
      <c r="L376" s="30" t="n"/>
      <c r="M376" s="30" t="n"/>
      <c r="N376" s="30" t="n"/>
      <c r="O376" s="31">
        <f>IF(A376="", "", IFERROR(INDEX(Dashboard!$A$13:$A$35, MATCH(A376, Dashboard!$B$13:$B$35, 0)), ""))</f>
        <v/>
      </c>
    </row>
    <row r="377" ht="65" customHeight="1">
      <c r="A377" s="30" t="n"/>
      <c r="B377" s="30" t="n"/>
      <c r="C377" s="30" t="n"/>
      <c r="D377" s="30" t="n"/>
      <c r="E377" s="30" t="n"/>
      <c r="F377" s="30" t="n"/>
      <c r="G377" s="30" t="n"/>
      <c r="H377" s="30" t="n"/>
      <c r="I377" s="30" t="n"/>
      <c r="J377" s="30" t="n"/>
      <c r="K377" s="30" t="n"/>
      <c r="L377" s="30" t="n"/>
      <c r="M377" s="30" t="n"/>
      <c r="N377" s="30" t="n"/>
      <c r="O377" s="31">
        <f>IF(A377="", "", IFERROR(INDEX(Dashboard!$A$13:$A$35, MATCH(A377, Dashboard!$B$13:$B$35, 0)), ""))</f>
        <v/>
      </c>
    </row>
    <row r="378" ht="65" customHeight="1">
      <c r="A378" s="30" t="n"/>
      <c r="B378" s="30" t="n"/>
      <c r="C378" s="30" t="n"/>
      <c r="D378" s="30" t="n"/>
      <c r="E378" s="30" t="n"/>
      <c r="F378" s="30" t="n"/>
      <c r="G378" s="30" t="n"/>
      <c r="H378" s="30" t="n"/>
      <c r="I378" s="30" t="n"/>
      <c r="J378" s="30" t="n"/>
      <c r="K378" s="30" t="n"/>
      <c r="L378" s="30" t="n"/>
      <c r="M378" s="30" t="n"/>
      <c r="N378" s="30" t="n"/>
      <c r="O378" s="31">
        <f>IF(A378="", "", IFERROR(INDEX(Dashboard!$A$13:$A$35, MATCH(A378, Dashboard!$B$13:$B$35, 0)), ""))</f>
        <v/>
      </c>
    </row>
    <row r="379" ht="65" customHeight="1">
      <c r="A379" s="30" t="n"/>
      <c r="B379" s="30" t="n"/>
      <c r="C379" s="30" t="n"/>
      <c r="D379" s="30" t="n"/>
      <c r="E379" s="30" t="n"/>
      <c r="F379" s="30" t="n"/>
      <c r="G379" s="30" t="n"/>
      <c r="H379" s="30" t="n"/>
      <c r="I379" s="30" t="n"/>
      <c r="J379" s="30" t="n"/>
      <c r="K379" s="30" t="n"/>
      <c r="L379" s="30" t="n"/>
      <c r="M379" s="30" t="n"/>
      <c r="N379" s="30" t="n"/>
      <c r="O379" s="31">
        <f>IF(A379="", "", IFERROR(INDEX(Dashboard!$A$13:$A$35, MATCH(A379, Dashboard!$B$13:$B$35, 0)), ""))</f>
        <v/>
      </c>
    </row>
    <row r="380" ht="65" customHeight="1">
      <c r="A380" s="30" t="n"/>
      <c r="B380" s="30" t="n"/>
      <c r="C380" s="30" t="n"/>
      <c r="D380" s="30" t="n"/>
      <c r="E380" s="30" t="n"/>
      <c r="F380" s="30" t="n"/>
      <c r="G380" s="30" t="n"/>
      <c r="H380" s="30" t="n"/>
      <c r="I380" s="30" t="n"/>
      <c r="J380" s="30" t="n"/>
      <c r="K380" s="30" t="n"/>
      <c r="L380" s="30" t="n"/>
      <c r="M380" s="30" t="n"/>
      <c r="N380" s="30" t="n"/>
      <c r="O380" s="31">
        <f>IF(A380="", "", IFERROR(INDEX(Dashboard!$A$13:$A$35, MATCH(A380, Dashboard!$B$13:$B$35, 0)), ""))</f>
        <v/>
      </c>
    </row>
    <row r="381" ht="65" customHeight="1">
      <c r="A381" s="30" t="n"/>
      <c r="B381" s="30" t="n"/>
      <c r="C381" s="30" t="n"/>
      <c r="D381" s="30" t="n"/>
      <c r="E381" s="30" t="n"/>
      <c r="F381" s="30" t="n"/>
      <c r="G381" s="30" t="n"/>
      <c r="H381" s="30" t="n"/>
      <c r="I381" s="30" t="n"/>
      <c r="J381" s="30" t="n"/>
      <c r="K381" s="30" t="n"/>
      <c r="L381" s="30" t="n"/>
      <c r="M381" s="30" t="n"/>
      <c r="N381" s="30" t="n"/>
      <c r="O381" s="31">
        <f>IF(A381="", "", IFERROR(INDEX(Dashboard!$A$13:$A$35, MATCH(A381, Dashboard!$B$13:$B$35, 0)), ""))</f>
        <v/>
      </c>
    </row>
    <row r="382" ht="65" customHeight="1">
      <c r="A382" s="30" t="n"/>
      <c r="B382" s="30" t="n"/>
      <c r="C382" s="30" t="n"/>
      <c r="D382" s="30" t="n"/>
      <c r="E382" s="30" t="n"/>
      <c r="F382" s="30" t="n"/>
      <c r="G382" s="30" t="n"/>
      <c r="H382" s="30" t="n"/>
      <c r="I382" s="30" t="n"/>
      <c r="J382" s="30" t="n"/>
      <c r="K382" s="30" t="n"/>
      <c r="L382" s="30" t="n"/>
      <c r="M382" s="30" t="n"/>
      <c r="N382" s="30" t="n"/>
      <c r="O382" s="31">
        <f>IF(A382="", "", IFERROR(INDEX(Dashboard!$A$13:$A$35, MATCH(A382, Dashboard!$B$13:$B$35, 0)), ""))</f>
        <v/>
      </c>
    </row>
    <row r="383" ht="65" customHeight="1">
      <c r="A383" s="30" t="n"/>
      <c r="B383" s="30" t="n"/>
      <c r="C383" s="30" t="n"/>
      <c r="D383" s="30" t="n"/>
      <c r="E383" s="30" t="n"/>
      <c r="F383" s="30" t="n"/>
      <c r="G383" s="30" t="n"/>
      <c r="H383" s="30" t="n"/>
      <c r="I383" s="30" t="n"/>
      <c r="J383" s="30" t="n"/>
      <c r="K383" s="30" t="n"/>
      <c r="L383" s="30" t="n"/>
      <c r="M383" s="30" t="n"/>
      <c r="N383" s="30" t="n"/>
      <c r="O383" s="31">
        <f>IF(A383="", "", IFERROR(INDEX(Dashboard!$A$13:$A$35, MATCH(A383, Dashboard!$B$13:$B$35, 0)), ""))</f>
        <v/>
      </c>
    </row>
    <row r="384" ht="65" customHeight="1">
      <c r="A384" s="30" t="n"/>
      <c r="B384" s="30" t="n"/>
      <c r="C384" s="30" t="n"/>
      <c r="D384" s="30" t="n"/>
      <c r="E384" s="30" t="n"/>
      <c r="F384" s="30" t="n"/>
      <c r="G384" s="30" t="n"/>
      <c r="H384" s="30" t="n"/>
      <c r="I384" s="30" t="n"/>
      <c r="J384" s="30" t="n"/>
      <c r="K384" s="30" t="n"/>
      <c r="L384" s="30" t="n"/>
      <c r="M384" s="30" t="n"/>
      <c r="N384" s="30" t="n"/>
      <c r="O384" s="31">
        <f>IF(A384="", "", IFERROR(INDEX(Dashboard!$A$13:$A$35, MATCH(A384, Dashboard!$B$13:$B$35, 0)), ""))</f>
        <v/>
      </c>
    </row>
    <row r="385" ht="65" customHeight="1">
      <c r="A385" s="30" t="n"/>
      <c r="B385" s="30" t="n"/>
      <c r="C385" s="30" t="n"/>
      <c r="D385" s="30" t="n"/>
      <c r="E385" s="30" t="n"/>
      <c r="F385" s="30" t="n"/>
      <c r="G385" s="30" t="n"/>
      <c r="H385" s="30" t="n"/>
      <c r="I385" s="30" t="n"/>
      <c r="J385" s="30" t="n"/>
      <c r="K385" s="30" t="n"/>
      <c r="L385" s="30" t="n"/>
      <c r="M385" s="30" t="n"/>
      <c r="N385" s="30" t="n"/>
      <c r="O385" s="31">
        <f>IF(A385="", "", IFERROR(INDEX(Dashboard!$A$13:$A$35, MATCH(A385, Dashboard!$B$13:$B$35, 0)), ""))</f>
        <v/>
      </c>
    </row>
    <row r="386" ht="65" customHeight="1">
      <c r="A386" s="30" t="n"/>
      <c r="B386" s="30" t="n"/>
      <c r="C386" s="30" t="n"/>
      <c r="D386" s="30" t="n"/>
      <c r="E386" s="30" t="n"/>
      <c r="F386" s="30" t="n"/>
      <c r="G386" s="30" t="n"/>
      <c r="H386" s="30" t="n"/>
      <c r="I386" s="30" t="n"/>
      <c r="J386" s="30" t="n"/>
      <c r="K386" s="30" t="n"/>
      <c r="L386" s="30" t="n"/>
      <c r="M386" s="30" t="n"/>
      <c r="N386" s="30" t="n"/>
      <c r="O386" s="31">
        <f>IF(A386="", "", IFERROR(INDEX(Dashboard!$A$13:$A$35, MATCH(A386, Dashboard!$B$13:$B$35, 0)), ""))</f>
        <v/>
      </c>
    </row>
    <row r="387" ht="65" customHeight="1">
      <c r="A387" s="30" t="n"/>
      <c r="B387" s="30" t="n"/>
      <c r="C387" s="30" t="n"/>
      <c r="D387" s="30" t="n"/>
      <c r="E387" s="30" t="n"/>
      <c r="F387" s="30" t="n"/>
      <c r="G387" s="30" t="n"/>
      <c r="H387" s="30" t="n"/>
      <c r="I387" s="30" t="n"/>
      <c r="J387" s="30" t="n"/>
      <c r="K387" s="30" t="n"/>
      <c r="L387" s="30" t="n"/>
      <c r="M387" s="30" t="n"/>
      <c r="N387" s="30" t="n"/>
      <c r="O387" s="31">
        <f>IF(A387="", "", IFERROR(INDEX(Dashboard!$A$13:$A$35, MATCH(A387, Dashboard!$B$13:$B$35, 0)), ""))</f>
        <v/>
      </c>
    </row>
    <row r="388" ht="65" customHeight="1">
      <c r="A388" s="30" t="n"/>
      <c r="B388" s="30" t="n"/>
      <c r="C388" s="30" t="n"/>
      <c r="D388" s="30" t="n"/>
      <c r="E388" s="30" t="n"/>
      <c r="F388" s="30" t="n"/>
      <c r="G388" s="30" t="n"/>
      <c r="H388" s="30" t="n"/>
      <c r="I388" s="30" t="n"/>
      <c r="J388" s="30" t="n"/>
      <c r="K388" s="30" t="n"/>
      <c r="L388" s="30" t="n"/>
      <c r="M388" s="30" t="n"/>
      <c r="N388" s="30" t="n"/>
      <c r="O388" s="31">
        <f>IF(A388="", "", IFERROR(INDEX(Dashboard!$A$13:$A$35, MATCH(A388, Dashboard!$B$13:$B$35, 0)), ""))</f>
        <v/>
      </c>
    </row>
    <row r="389" ht="65" customHeight="1">
      <c r="A389" s="30" t="n"/>
      <c r="B389" s="30" t="n"/>
      <c r="C389" s="30" t="n"/>
      <c r="D389" s="30" t="n"/>
      <c r="E389" s="30" t="n"/>
      <c r="F389" s="30" t="n"/>
      <c r="G389" s="30" t="n"/>
      <c r="H389" s="30" t="n"/>
      <c r="I389" s="30" t="n"/>
      <c r="J389" s="30" t="n"/>
      <c r="K389" s="30" t="n"/>
      <c r="L389" s="30" t="n"/>
      <c r="M389" s="30" t="n"/>
      <c r="N389" s="30" t="n"/>
      <c r="O389" s="31">
        <f>IF(A389="", "", IFERROR(INDEX(Dashboard!$A$13:$A$35, MATCH(A389, Dashboard!$B$13:$B$35, 0)), ""))</f>
        <v/>
      </c>
    </row>
    <row r="390" ht="65" customHeight="1">
      <c r="A390" s="30" t="n"/>
      <c r="B390" s="30" t="n"/>
      <c r="C390" s="30" t="n"/>
      <c r="D390" s="30" t="n"/>
      <c r="E390" s="30" t="n"/>
      <c r="F390" s="30" t="n"/>
      <c r="G390" s="30" t="n"/>
      <c r="H390" s="30" t="n"/>
      <c r="I390" s="30" t="n"/>
      <c r="J390" s="30" t="n"/>
      <c r="K390" s="30" t="n"/>
      <c r="L390" s="30" t="n"/>
      <c r="M390" s="30" t="n"/>
      <c r="N390" s="30" t="n"/>
      <c r="O390" s="31">
        <f>IF(A390="", "", IFERROR(INDEX(Dashboard!$A$13:$A$35, MATCH(A390, Dashboard!$B$13:$B$35, 0)), ""))</f>
        <v/>
      </c>
    </row>
    <row r="391" ht="65" customHeight="1">
      <c r="A391" s="30" t="n"/>
      <c r="B391" s="30" t="n"/>
      <c r="C391" s="30" t="n"/>
      <c r="D391" s="30" t="n"/>
      <c r="E391" s="30" t="n"/>
      <c r="F391" s="30" t="n"/>
      <c r="G391" s="30" t="n"/>
      <c r="H391" s="30" t="n"/>
      <c r="I391" s="30" t="n"/>
      <c r="J391" s="30" t="n"/>
      <c r="K391" s="30" t="n"/>
      <c r="L391" s="30" t="n"/>
      <c r="M391" s="30" t="n"/>
      <c r="N391" s="30" t="n"/>
      <c r="O391" s="31">
        <f>IF(A391="", "", IFERROR(INDEX(Dashboard!$A$13:$A$35, MATCH(A391, Dashboard!$B$13:$B$35, 0)), ""))</f>
        <v/>
      </c>
    </row>
    <row r="392" ht="65" customHeight="1">
      <c r="A392" s="30" t="n"/>
      <c r="B392" s="30" t="n"/>
      <c r="C392" s="30" t="n"/>
      <c r="D392" s="30" t="n"/>
      <c r="E392" s="30" t="n"/>
      <c r="F392" s="30" t="n"/>
      <c r="G392" s="30" t="n"/>
      <c r="H392" s="30" t="n"/>
      <c r="I392" s="30" t="n"/>
      <c r="J392" s="30" t="n"/>
      <c r="K392" s="30" t="n"/>
      <c r="L392" s="30" t="n"/>
      <c r="M392" s="30" t="n"/>
      <c r="N392" s="30" t="n"/>
      <c r="O392" s="31">
        <f>IF(A392="", "", IFERROR(INDEX(Dashboard!$A$13:$A$35, MATCH(A392, Dashboard!$B$13:$B$35, 0)), ""))</f>
        <v/>
      </c>
    </row>
    <row r="393" ht="65" customHeight="1">
      <c r="A393" s="30" t="n"/>
      <c r="B393" s="30" t="n"/>
      <c r="C393" s="30" t="n"/>
      <c r="D393" s="30" t="n"/>
      <c r="E393" s="30" t="n"/>
      <c r="F393" s="30" t="n"/>
      <c r="G393" s="30" t="n"/>
      <c r="H393" s="30" t="n"/>
      <c r="I393" s="30" t="n"/>
      <c r="J393" s="30" t="n"/>
      <c r="K393" s="30" t="n"/>
      <c r="L393" s="30" t="n"/>
      <c r="M393" s="30" t="n"/>
      <c r="N393" s="30" t="n"/>
      <c r="O393" s="31">
        <f>IF(A393="", "", IFERROR(INDEX(Dashboard!$A$13:$A$35, MATCH(A393, Dashboard!$B$13:$B$35, 0)), ""))</f>
        <v/>
      </c>
    </row>
    <row r="394" ht="65" customHeight="1">
      <c r="A394" s="30" t="n"/>
      <c r="B394" s="30" t="n"/>
      <c r="C394" s="30" t="n"/>
      <c r="D394" s="30" t="n"/>
      <c r="E394" s="30" t="n"/>
      <c r="F394" s="30" t="n"/>
      <c r="G394" s="30" t="n"/>
      <c r="H394" s="30" t="n"/>
      <c r="I394" s="30" t="n"/>
      <c r="J394" s="30" t="n"/>
      <c r="K394" s="30" t="n"/>
      <c r="L394" s="30" t="n"/>
      <c r="M394" s="30" t="n"/>
      <c r="N394" s="30" t="n"/>
      <c r="O394" s="31">
        <f>IF(A394="", "", IFERROR(INDEX(Dashboard!$A$13:$A$35, MATCH(A394, Dashboard!$B$13:$B$35, 0)), ""))</f>
        <v/>
      </c>
    </row>
    <row r="395" ht="65" customHeight="1">
      <c r="A395" s="30" t="n"/>
      <c r="B395" s="30" t="n"/>
      <c r="C395" s="30" t="n"/>
      <c r="D395" s="30" t="n"/>
      <c r="E395" s="30" t="n"/>
      <c r="F395" s="30" t="n"/>
      <c r="G395" s="30" t="n"/>
      <c r="H395" s="30" t="n"/>
      <c r="I395" s="30" t="n"/>
      <c r="J395" s="30" t="n"/>
      <c r="K395" s="30" t="n"/>
      <c r="L395" s="30" t="n"/>
      <c r="M395" s="30" t="n"/>
      <c r="N395" s="30" t="n"/>
      <c r="O395" s="31">
        <f>IF(A395="", "", IFERROR(INDEX(Dashboard!$A$13:$A$35, MATCH(A395, Dashboard!$B$13:$B$35, 0)), ""))</f>
        <v/>
      </c>
    </row>
    <row r="396" ht="65" customHeight="1">
      <c r="A396" s="30" t="n"/>
      <c r="B396" s="30" t="n"/>
      <c r="C396" s="30" t="n"/>
      <c r="D396" s="30" t="n"/>
      <c r="E396" s="30" t="n"/>
      <c r="F396" s="30" t="n"/>
      <c r="G396" s="30" t="n"/>
      <c r="H396" s="30" t="n"/>
      <c r="I396" s="30" t="n"/>
      <c r="J396" s="30" t="n"/>
      <c r="K396" s="30" t="n"/>
      <c r="L396" s="30" t="n"/>
      <c r="M396" s="30" t="n"/>
      <c r="N396" s="30" t="n"/>
      <c r="O396" s="31">
        <f>IF(A396="", "", IFERROR(INDEX(Dashboard!$A$13:$A$35, MATCH(A396, Dashboard!$B$13:$B$35, 0)), ""))</f>
        <v/>
      </c>
    </row>
    <row r="397" ht="65" customHeight="1">
      <c r="A397" s="30" t="n"/>
      <c r="B397" s="30" t="n"/>
      <c r="C397" s="30" t="n"/>
      <c r="D397" s="30" t="n"/>
      <c r="E397" s="30" t="n"/>
      <c r="F397" s="30" t="n"/>
      <c r="G397" s="30" t="n"/>
      <c r="H397" s="30" t="n"/>
      <c r="I397" s="30" t="n"/>
      <c r="J397" s="30" t="n"/>
      <c r="K397" s="30" t="n"/>
      <c r="L397" s="30" t="n"/>
      <c r="M397" s="30" t="n"/>
      <c r="N397" s="30" t="n"/>
      <c r="O397" s="31">
        <f>IF(A397="", "", IFERROR(INDEX(Dashboard!$A$13:$A$35, MATCH(A397, Dashboard!$B$13:$B$35, 0)), ""))</f>
        <v/>
      </c>
    </row>
    <row r="398" ht="65" customHeight="1">
      <c r="A398" s="30" t="n"/>
      <c r="B398" s="30" t="n"/>
      <c r="C398" s="30" t="n"/>
      <c r="D398" s="30" t="n"/>
      <c r="E398" s="30" t="n"/>
      <c r="F398" s="30" t="n"/>
      <c r="G398" s="30" t="n"/>
      <c r="H398" s="30" t="n"/>
      <c r="I398" s="30" t="n"/>
      <c r="J398" s="30" t="n"/>
      <c r="K398" s="30" t="n"/>
      <c r="L398" s="30" t="n"/>
      <c r="M398" s="30" t="n"/>
      <c r="N398" s="30" t="n"/>
      <c r="O398" s="31">
        <f>IF(A398="", "", IFERROR(INDEX(Dashboard!$A$13:$A$35, MATCH(A398, Dashboard!$B$13:$B$35, 0)), ""))</f>
        <v/>
      </c>
    </row>
    <row r="399" ht="65" customHeight="1">
      <c r="A399" s="30" t="n"/>
      <c r="B399" s="30" t="n"/>
      <c r="C399" s="30" t="n"/>
      <c r="D399" s="30" t="n"/>
      <c r="E399" s="30" t="n"/>
      <c r="F399" s="30" t="n"/>
      <c r="G399" s="30" t="n"/>
      <c r="H399" s="30" t="n"/>
      <c r="I399" s="30" t="n"/>
      <c r="J399" s="30" t="n"/>
      <c r="K399" s="30" t="n"/>
      <c r="L399" s="30" t="n"/>
      <c r="M399" s="30" t="n"/>
      <c r="N399" s="30" t="n"/>
      <c r="O399" s="31">
        <f>IF(A399="", "", IFERROR(INDEX(Dashboard!$A$13:$A$35, MATCH(A399, Dashboard!$B$13:$B$35, 0)), ""))</f>
        <v/>
      </c>
    </row>
    <row r="400" ht="65" customHeight="1">
      <c r="A400" s="30" t="n"/>
      <c r="B400" s="30" t="n"/>
      <c r="C400" s="30" t="n"/>
      <c r="D400" s="30" t="n"/>
      <c r="E400" s="30" t="n"/>
      <c r="F400" s="30" t="n"/>
      <c r="G400" s="30" t="n"/>
      <c r="H400" s="30" t="n"/>
      <c r="I400" s="30" t="n"/>
      <c r="J400" s="30" t="n"/>
      <c r="K400" s="30" t="n"/>
      <c r="L400" s="30" t="n"/>
      <c r="M400" s="30" t="n"/>
      <c r="N400" s="30" t="n"/>
      <c r="O400" s="31">
        <f>IF(A400="", "", IFERROR(INDEX(Dashboard!$A$13:$A$35, MATCH(A400, Dashboard!$B$13:$B$35, 0)), ""))</f>
        <v/>
      </c>
    </row>
    <row r="401" ht="65" customHeight="1">
      <c r="A401" s="30" t="n"/>
      <c r="B401" s="30" t="n"/>
      <c r="C401" s="30" t="n"/>
      <c r="D401" s="30" t="n"/>
      <c r="E401" s="30" t="n"/>
      <c r="F401" s="30" t="n"/>
      <c r="G401" s="30" t="n"/>
      <c r="H401" s="30" t="n"/>
      <c r="I401" s="30" t="n"/>
      <c r="J401" s="30" t="n"/>
      <c r="K401" s="30" t="n"/>
      <c r="L401" s="30" t="n"/>
      <c r="M401" s="30" t="n"/>
      <c r="N401" s="30" t="n"/>
      <c r="O401" s="31">
        <f>IF(A401="", "", IFERROR(INDEX(Dashboard!$A$13:$A$35, MATCH(A401, Dashboard!$B$13:$B$35, 0)), ""))</f>
        <v/>
      </c>
    </row>
    <row r="402" ht="65" customHeight="1">
      <c r="A402" s="30" t="n"/>
      <c r="B402" s="30" t="n"/>
      <c r="C402" s="30" t="n"/>
      <c r="D402" s="30" t="n"/>
      <c r="E402" s="30" t="n"/>
      <c r="F402" s="30" t="n"/>
      <c r="G402" s="30" t="n"/>
      <c r="H402" s="30" t="n"/>
      <c r="I402" s="30" t="n"/>
      <c r="J402" s="30" t="n"/>
      <c r="K402" s="30" t="n"/>
      <c r="L402" s="30" t="n"/>
      <c r="M402" s="30" t="n"/>
      <c r="N402" s="30" t="n"/>
      <c r="O402" s="31">
        <f>IF(A402="", "", IFERROR(INDEX(Dashboard!$A$13:$A$35, MATCH(A402, Dashboard!$B$13:$B$35, 0)), ""))</f>
        <v/>
      </c>
    </row>
    <row r="403" ht="65" customHeight="1">
      <c r="A403" s="30" t="n"/>
      <c r="B403" s="30" t="n"/>
      <c r="C403" s="30" t="n"/>
      <c r="D403" s="30" t="n"/>
      <c r="E403" s="30" t="n"/>
      <c r="F403" s="30" t="n"/>
      <c r="G403" s="30" t="n"/>
      <c r="H403" s="30" t="n"/>
      <c r="I403" s="30" t="n"/>
      <c r="J403" s="30" t="n"/>
      <c r="K403" s="30" t="n"/>
      <c r="L403" s="30" t="n"/>
      <c r="M403" s="30" t="n"/>
      <c r="N403" s="30" t="n"/>
      <c r="O403" s="31">
        <f>IF(A403="", "", IFERROR(INDEX(Dashboard!$A$13:$A$35, MATCH(A403, Dashboard!$B$13:$B$35, 0)), ""))</f>
        <v/>
      </c>
    </row>
    <row r="404" ht="65" customHeight="1">
      <c r="A404" s="30" t="n"/>
      <c r="B404" s="30" t="n"/>
      <c r="C404" s="30" t="n"/>
      <c r="D404" s="30" t="n"/>
      <c r="E404" s="30" t="n"/>
      <c r="F404" s="30" t="n"/>
      <c r="G404" s="30" t="n"/>
      <c r="H404" s="30" t="n"/>
      <c r="I404" s="30" t="n"/>
      <c r="J404" s="30" t="n"/>
      <c r="K404" s="30" t="n"/>
      <c r="L404" s="30" t="n"/>
      <c r="M404" s="30" t="n"/>
      <c r="N404" s="30" t="n"/>
      <c r="O404" s="31">
        <f>IF(A404="", "", IFERROR(INDEX(Dashboard!$A$13:$A$35, MATCH(A404, Dashboard!$B$13:$B$35, 0)), ""))</f>
        <v/>
      </c>
    </row>
    <row r="405" ht="65" customHeight="1">
      <c r="A405" s="30" t="n"/>
      <c r="B405" s="30" t="n"/>
      <c r="C405" s="30" t="n"/>
      <c r="D405" s="30" t="n"/>
      <c r="E405" s="30" t="n"/>
      <c r="F405" s="30" t="n"/>
      <c r="G405" s="30" t="n"/>
      <c r="H405" s="30" t="n"/>
      <c r="I405" s="30" t="n"/>
      <c r="J405" s="30" t="n"/>
      <c r="K405" s="30" t="n"/>
      <c r="L405" s="30" t="n"/>
      <c r="M405" s="30" t="n"/>
      <c r="N405" s="30" t="n"/>
      <c r="O405" s="31">
        <f>IF(A405="", "", IFERROR(INDEX(Dashboard!$A$13:$A$35, MATCH(A405, Dashboard!$B$13:$B$35, 0)), ""))</f>
        <v/>
      </c>
    </row>
    <row r="406" ht="65" customHeight="1">
      <c r="A406" s="30" t="n"/>
      <c r="B406" s="30" t="n"/>
      <c r="C406" s="30" t="n"/>
      <c r="D406" s="30" t="n"/>
      <c r="E406" s="30" t="n"/>
      <c r="F406" s="30" t="n"/>
      <c r="G406" s="30" t="n"/>
      <c r="H406" s="30" t="n"/>
      <c r="I406" s="30" t="n"/>
      <c r="J406" s="30" t="n"/>
      <c r="K406" s="30" t="n"/>
      <c r="L406" s="30" t="n"/>
      <c r="M406" s="30" t="n"/>
      <c r="N406" s="30" t="n"/>
      <c r="O406" s="31">
        <f>IF(A406="", "", IFERROR(INDEX(Dashboard!$A$13:$A$35, MATCH(A406, Dashboard!$B$13:$B$35, 0)), ""))</f>
        <v/>
      </c>
    </row>
    <row r="407" ht="65" customHeight="1">
      <c r="A407" s="30" t="n"/>
      <c r="B407" s="30" t="n"/>
      <c r="C407" s="30" t="n"/>
      <c r="D407" s="30" t="n"/>
      <c r="E407" s="30" t="n"/>
      <c r="F407" s="30" t="n"/>
      <c r="G407" s="30" t="n"/>
      <c r="H407" s="30" t="n"/>
      <c r="I407" s="30" t="n"/>
      <c r="J407" s="30" t="n"/>
      <c r="K407" s="30" t="n"/>
      <c r="L407" s="30" t="n"/>
      <c r="M407" s="30" t="n"/>
      <c r="N407" s="30" t="n"/>
      <c r="O407" s="31">
        <f>IF(A407="", "", IFERROR(INDEX(Dashboard!$A$13:$A$35, MATCH(A407, Dashboard!$B$13:$B$35, 0)), ""))</f>
        <v/>
      </c>
    </row>
    <row r="408" ht="65" customHeight="1">
      <c r="A408" s="30" t="n"/>
      <c r="B408" s="30" t="n"/>
      <c r="C408" s="30" t="n"/>
      <c r="D408" s="30" t="n"/>
      <c r="E408" s="30" t="n"/>
      <c r="F408" s="30" t="n"/>
      <c r="G408" s="30" t="n"/>
      <c r="H408" s="30" t="n"/>
      <c r="I408" s="30" t="n"/>
      <c r="J408" s="30" t="n"/>
      <c r="K408" s="30" t="n"/>
      <c r="L408" s="30" t="n"/>
      <c r="M408" s="30" t="n"/>
      <c r="N408" s="30" t="n"/>
      <c r="O408" s="31">
        <f>IF(A408="", "", IFERROR(INDEX(Dashboard!$A$13:$A$35, MATCH(A408, Dashboard!$B$13:$B$35, 0)), ""))</f>
        <v/>
      </c>
    </row>
    <row r="409" ht="65" customHeight="1">
      <c r="A409" s="30" t="n"/>
      <c r="B409" s="30" t="n"/>
      <c r="C409" s="30" t="n"/>
      <c r="D409" s="30" t="n"/>
      <c r="E409" s="30" t="n"/>
      <c r="F409" s="30" t="n"/>
      <c r="G409" s="30" t="n"/>
      <c r="H409" s="30" t="n"/>
      <c r="I409" s="30" t="n"/>
      <c r="J409" s="30" t="n"/>
      <c r="K409" s="30" t="n"/>
      <c r="L409" s="30" t="n"/>
      <c r="M409" s="30" t="n"/>
      <c r="N409" s="30" t="n"/>
      <c r="O409" s="31">
        <f>IF(A409="", "", IFERROR(INDEX(Dashboard!$A$13:$A$35, MATCH(A409, Dashboard!$B$13:$B$35, 0)), ""))</f>
        <v/>
      </c>
    </row>
    <row r="410" ht="65" customHeight="1">
      <c r="A410" s="30" t="n"/>
      <c r="B410" s="30" t="n"/>
      <c r="C410" s="30" t="n"/>
      <c r="D410" s="30" t="n"/>
      <c r="E410" s="30" t="n"/>
      <c r="F410" s="30" t="n"/>
      <c r="G410" s="30" t="n"/>
      <c r="H410" s="30" t="n"/>
      <c r="I410" s="30" t="n"/>
      <c r="J410" s="30" t="n"/>
      <c r="K410" s="30" t="n"/>
      <c r="L410" s="30" t="n"/>
      <c r="M410" s="30" t="n"/>
      <c r="N410" s="30" t="n"/>
      <c r="O410" s="31">
        <f>IF(A410="", "", IFERROR(INDEX(Dashboard!$A$13:$A$35, MATCH(A410, Dashboard!$B$13:$B$35, 0)), ""))</f>
        <v/>
      </c>
    </row>
    <row r="411" ht="65" customHeight="1">
      <c r="A411" s="30" t="n"/>
      <c r="B411" s="30" t="n"/>
      <c r="C411" s="30" t="n"/>
      <c r="D411" s="30" t="n"/>
      <c r="E411" s="30" t="n"/>
      <c r="F411" s="30" t="n"/>
      <c r="G411" s="30" t="n"/>
      <c r="H411" s="30" t="n"/>
      <c r="I411" s="30" t="n"/>
      <c r="J411" s="30" t="n"/>
      <c r="K411" s="30" t="n"/>
      <c r="L411" s="30" t="n"/>
      <c r="M411" s="30" t="n"/>
      <c r="N411" s="30" t="n"/>
      <c r="O411" s="31">
        <f>IF(A411="", "", IFERROR(INDEX(Dashboard!$A$13:$A$35, MATCH(A411, Dashboard!$B$13:$B$35, 0)), ""))</f>
        <v/>
      </c>
    </row>
    <row r="412" ht="65" customHeight="1">
      <c r="A412" s="30" t="n"/>
      <c r="B412" s="30" t="n"/>
      <c r="C412" s="30" t="n"/>
      <c r="D412" s="30" t="n"/>
      <c r="E412" s="30" t="n"/>
      <c r="F412" s="30" t="n"/>
      <c r="G412" s="30" t="n"/>
      <c r="H412" s="30" t="n"/>
      <c r="I412" s="30" t="n"/>
      <c r="J412" s="30" t="n"/>
      <c r="K412" s="30" t="n"/>
      <c r="L412" s="30" t="n"/>
      <c r="M412" s="30" t="n"/>
      <c r="N412" s="30" t="n"/>
      <c r="O412" s="31">
        <f>IF(A412="", "", IFERROR(INDEX(Dashboard!$A$13:$A$35, MATCH(A412, Dashboard!$B$13:$B$35, 0)), ""))</f>
        <v/>
      </c>
    </row>
    <row r="413" ht="65" customHeight="1">
      <c r="A413" s="30" t="n"/>
      <c r="B413" s="30" t="n"/>
      <c r="C413" s="30" t="n"/>
      <c r="D413" s="30" t="n"/>
      <c r="E413" s="30" t="n"/>
      <c r="F413" s="30" t="n"/>
      <c r="G413" s="30" t="n"/>
      <c r="H413" s="30" t="n"/>
      <c r="I413" s="30" t="n"/>
      <c r="J413" s="30" t="n"/>
      <c r="K413" s="30" t="n"/>
      <c r="L413" s="30" t="n"/>
      <c r="M413" s="30" t="n"/>
      <c r="N413" s="30" t="n"/>
      <c r="O413" s="31">
        <f>IF(A413="", "", IFERROR(INDEX(Dashboard!$A$13:$A$35, MATCH(A413, Dashboard!$B$13:$B$35, 0)), ""))</f>
        <v/>
      </c>
    </row>
    <row r="414" ht="65" customHeight="1">
      <c r="A414" s="30" t="n"/>
      <c r="B414" s="30" t="n"/>
      <c r="C414" s="30" t="n"/>
      <c r="D414" s="30" t="n"/>
      <c r="E414" s="30" t="n"/>
      <c r="F414" s="30" t="n"/>
      <c r="G414" s="30" t="n"/>
      <c r="H414" s="30" t="n"/>
      <c r="I414" s="30" t="n"/>
      <c r="J414" s="30" t="n"/>
      <c r="K414" s="30" t="n"/>
      <c r="L414" s="30" t="n"/>
      <c r="M414" s="30" t="n"/>
      <c r="N414" s="30" t="n"/>
      <c r="O414" s="31">
        <f>IF(A414="", "", IFERROR(INDEX(Dashboard!$A$13:$A$35, MATCH(A414, Dashboard!$B$13:$B$35, 0)), ""))</f>
        <v/>
      </c>
    </row>
    <row r="415" ht="65" customHeight="1">
      <c r="A415" s="30" t="n"/>
      <c r="B415" s="30" t="n"/>
      <c r="C415" s="30" t="n"/>
      <c r="D415" s="30" t="n"/>
      <c r="E415" s="30" t="n"/>
      <c r="F415" s="30" t="n"/>
      <c r="G415" s="30" t="n"/>
      <c r="H415" s="30" t="n"/>
      <c r="I415" s="30" t="n"/>
      <c r="J415" s="30" t="n"/>
      <c r="K415" s="30" t="n"/>
      <c r="L415" s="30" t="n"/>
      <c r="M415" s="30" t="n"/>
      <c r="N415" s="30" t="n"/>
      <c r="O415" s="31">
        <f>IF(A415="", "", IFERROR(INDEX(Dashboard!$A$13:$A$35, MATCH(A415, Dashboard!$B$13:$B$35, 0)), ""))</f>
        <v/>
      </c>
    </row>
    <row r="416" ht="65" customHeight="1">
      <c r="A416" s="30" t="n"/>
      <c r="B416" s="30" t="n"/>
      <c r="C416" s="30" t="n"/>
      <c r="D416" s="30" t="n"/>
      <c r="E416" s="30" t="n"/>
      <c r="F416" s="30" t="n"/>
      <c r="G416" s="30" t="n"/>
      <c r="H416" s="30" t="n"/>
      <c r="I416" s="30" t="n"/>
      <c r="J416" s="30" t="n"/>
      <c r="K416" s="30" t="n"/>
      <c r="L416" s="30" t="n"/>
      <c r="M416" s="30" t="n"/>
      <c r="N416" s="30" t="n"/>
      <c r="O416" s="31">
        <f>IF(A416="", "", IFERROR(INDEX(Dashboard!$A$13:$A$35, MATCH(A416, Dashboard!$B$13:$B$35, 0)), ""))</f>
        <v/>
      </c>
    </row>
    <row r="417" ht="65" customHeight="1">
      <c r="A417" s="30" t="n"/>
      <c r="B417" s="30" t="n"/>
      <c r="C417" s="30" t="n"/>
      <c r="D417" s="30" t="n"/>
      <c r="E417" s="30" t="n"/>
      <c r="F417" s="30" t="n"/>
      <c r="G417" s="30" t="n"/>
      <c r="H417" s="30" t="n"/>
      <c r="I417" s="30" t="n"/>
      <c r="J417" s="30" t="n"/>
      <c r="K417" s="30" t="n"/>
      <c r="L417" s="30" t="n"/>
      <c r="M417" s="30" t="n"/>
      <c r="N417" s="30" t="n"/>
      <c r="O417" s="31">
        <f>IF(A417="", "", IFERROR(INDEX(Dashboard!$A$13:$A$35, MATCH(A417, Dashboard!$B$13:$B$35, 0)), ""))</f>
        <v/>
      </c>
    </row>
    <row r="418" ht="65" customHeight="1">
      <c r="A418" s="30" t="n"/>
      <c r="B418" s="30" t="n"/>
      <c r="C418" s="30" t="n"/>
      <c r="D418" s="30" t="n"/>
      <c r="E418" s="30" t="n"/>
      <c r="F418" s="30" t="n"/>
      <c r="G418" s="30" t="n"/>
      <c r="H418" s="30" t="n"/>
      <c r="I418" s="30" t="n"/>
      <c r="J418" s="30" t="n"/>
      <c r="K418" s="30" t="n"/>
      <c r="L418" s="30" t="n"/>
      <c r="M418" s="30" t="n"/>
      <c r="N418" s="30" t="n"/>
      <c r="O418" s="31">
        <f>IF(A418="", "", IFERROR(INDEX(Dashboard!$A$13:$A$35, MATCH(A418, Dashboard!$B$13:$B$35, 0)), ""))</f>
        <v/>
      </c>
    </row>
    <row r="419" ht="65" customHeight="1">
      <c r="A419" s="30" t="n"/>
      <c r="B419" s="30" t="n"/>
      <c r="C419" s="30" t="n"/>
      <c r="D419" s="30" t="n"/>
      <c r="E419" s="30" t="n"/>
      <c r="F419" s="30" t="n"/>
      <c r="G419" s="30" t="n"/>
      <c r="H419" s="30" t="n"/>
      <c r="I419" s="30" t="n"/>
      <c r="J419" s="30" t="n"/>
      <c r="K419" s="30" t="n"/>
      <c r="L419" s="30" t="n"/>
      <c r="M419" s="30" t="n"/>
      <c r="N419" s="30" t="n"/>
      <c r="O419" s="31">
        <f>IF(A419="", "", IFERROR(INDEX(Dashboard!$A$13:$A$35, MATCH(A419, Dashboard!$B$13:$B$35, 0)), ""))</f>
        <v/>
      </c>
    </row>
    <row r="420" ht="65" customHeight="1">
      <c r="A420" s="30" t="n"/>
      <c r="B420" s="30" t="n"/>
      <c r="C420" s="30" t="n"/>
      <c r="D420" s="30" t="n"/>
      <c r="E420" s="30" t="n"/>
      <c r="F420" s="30" t="n"/>
      <c r="G420" s="30" t="n"/>
      <c r="H420" s="30" t="n"/>
      <c r="I420" s="30" t="n"/>
      <c r="J420" s="30" t="n"/>
      <c r="K420" s="30" t="n"/>
      <c r="L420" s="30" t="n"/>
      <c r="M420" s="30" t="n"/>
      <c r="N420" s="30" t="n"/>
      <c r="O420" s="31">
        <f>IF(A420="", "", IFERROR(INDEX(Dashboard!$A$13:$A$35, MATCH(A420, Dashboard!$B$13:$B$35, 0)), ""))</f>
        <v/>
      </c>
    </row>
    <row r="421" ht="65" customHeight="1">
      <c r="A421" s="30" t="n"/>
      <c r="B421" s="30" t="n"/>
      <c r="C421" s="30" t="n"/>
      <c r="D421" s="30" t="n"/>
      <c r="E421" s="30" t="n"/>
      <c r="F421" s="30" t="n"/>
      <c r="G421" s="30" t="n"/>
      <c r="H421" s="30" t="n"/>
      <c r="I421" s="30" t="n"/>
      <c r="J421" s="30" t="n"/>
      <c r="K421" s="30" t="n"/>
      <c r="L421" s="30" t="n"/>
      <c r="M421" s="30" t="n"/>
      <c r="N421" s="30" t="n"/>
      <c r="O421" s="31">
        <f>IF(A421="", "", IFERROR(INDEX(Dashboard!$A$13:$A$35, MATCH(A421, Dashboard!$B$13:$B$35, 0)), ""))</f>
        <v/>
      </c>
    </row>
    <row r="422" ht="65" customHeight="1">
      <c r="A422" s="30" t="n"/>
      <c r="B422" s="30" t="n"/>
      <c r="C422" s="30" t="n"/>
      <c r="D422" s="30" t="n"/>
      <c r="E422" s="30" t="n"/>
      <c r="F422" s="30" t="n"/>
      <c r="G422" s="30" t="n"/>
      <c r="H422" s="30" t="n"/>
      <c r="I422" s="30" t="n"/>
      <c r="J422" s="30" t="n"/>
      <c r="K422" s="30" t="n"/>
      <c r="L422" s="30" t="n"/>
      <c r="M422" s="30" t="n"/>
      <c r="N422" s="30" t="n"/>
      <c r="O422" s="31">
        <f>IF(A422="", "", IFERROR(INDEX(Dashboard!$A$13:$A$35, MATCH(A422, Dashboard!$B$13:$B$35, 0)), ""))</f>
        <v/>
      </c>
    </row>
    <row r="423" ht="65" customHeight="1">
      <c r="A423" s="30" t="n"/>
      <c r="B423" s="30" t="n"/>
      <c r="C423" s="30" t="n"/>
      <c r="D423" s="30" t="n"/>
      <c r="E423" s="30" t="n"/>
      <c r="F423" s="30" t="n"/>
      <c r="G423" s="30" t="n"/>
      <c r="H423" s="30" t="n"/>
      <c r="I423" s="30" t="n"/>
      <c r="J423" s="30" t="n"/>
      <c r="K423" s="30" t="n"/>
      <c r="L423" s="30" t="n"/>
      <c r="M423" s="30" t="n"/>
      <c r="N423" s="30" t="n"/>
      <c r="O423" s="31">
        <f>IF(A423="", "", IFERROR(INDEX(Dashboard!$A$13:$A$35, MATCH(A423, Dashboard!$B$13:$B$35, 0)), ""))</f>
        <v/>
      </c>
    </row>
    <row r="424" ht="65" customHeight="1">
      <c r="A424" s="30" t="n"/>
      <c r="B424" s="30" t="n"/>
      <c r="C424" s="30" t="n"/>
      <c r="D424" s="30" t="n"/>
      <c r="E424" s="30" t="n"/>
      <c r="F424" s="30" t="n"/>
      <c r="G424" s="30" t="n"/>
      <c r="H424" s="30" t="n"/>
      <c r="I424" s="30" t="n"/>
      <c r="J424" s="30" t="n"/>
      <c r="K424" s="30" t="n"/>
      <c r="L424" s="30" t="n"/>
      <c r="M424" s="30" t="n"/>
      <c r="N424" s="30" t="n"/>
      <c r="O424" s="31">
        <f>IF(A424="", "", IFERROR(INDEX(Dashboard!$A$13:$A$35, MATCH(A424, Dashboard!$B$13:$B$35, 0)), ""))</f>
        <v/>
      </c>
    </row>
    <row r="425" ht="65" customHeight="1">
      <c r="A425" s="30" t="n"/>
      <c r="B425" s="30" t="n"/>
      <c r="C425" s="30" t="n"/>
      <c r="D425" s="30" t="n"/>
      <c r="E425" s="30" t="n"/>
      <c r="F425" s="30" t="n"/>
      <c r="G425" s="30" t="n"/>
      <c r="H425" s="30" t="n"/>
      <c r="I425" s="30" t="n"/>
      <c r="J425" s="30" t="n"/>
      <c r="K425" s="30" t="n"/>
      <c r="L425" s="30" t="n"/>
      <c r="M425" s="30" t="n"/>
      <c r="N425" s="30" t="n"/>
      <c r="O425" s="31">
        <f>IF(A425="", "", IFERROR(INDEX(Dashboard!$A$13:$A$35, MATCH(A425, Dashboard!$B$13:$B$35, 0)), ""))</f>
        <v/>
      </c>
    </row>
    <row r="426" ht="65" customHeight="1">
      <c r="A426" s="30" t="n"/>
      <c r="B426" s="30" t="n"/>
      <c r="C426" s="30" t="n"/>
      <c r="D426" s="30" t="n"/>
      <c r="E426" s="30" t="n"/>
      <c r="F426" s="30" t="n"/>
      <c r="G426" s="30" t="n"/>
      <c r="H426" s="30" t="n"/>
      <c r="I426" s="30" t="n"/>
      <c r="J426" s="30" t="n"/>
      <c r="K426" s="30" t="n"/>
      <c r="L426" s="30" t="n"/>
      <c r="M426" s="30" t="n"/>
      <c r="N426" s="30" t="n"/>
      <c r="O426" s="31">
        <f>IF(A426="", "", IFERROR(INDEX(Dashboard!$A$13:$A$35, MATCH(A426, Dashboard!$B$13:$B$35, 0)), ""))</f>
        <v/>
      </c>
    </row>
    <row r="427" ht="65" customHeight="1">
      <c r="A427" s="30" t="n"/>
      <c r="B427" s="30" t="n"/>
      <c r="C427" s="30" t="n"/>
      <c r="D427" s="30" t="n"/>
      <c r="E427" s="30" t="n"/>
      <c r="F427" s="30" t="n"/>
      <c r="G427" s="30" t="n"/>
      <c r="H427" s="30" t="n"/>
      <c r="I427" s="30" t="n"/>
      <c r="J427" s="30" t="n"/>
      <c r="K427" s="30" t="n"/>
      <c r="L427" s="30" t="n"/>
      <c r="M427" s="30" t="n"/>
      <c r="N427" s="30" t="n"/>
      <c r="O427" s="31">
        <f>IF(A427="", "", IFERROR(INDEX(Dashboard!$A$13:$A$35, MATCH(A427, Dashboard!$B$13:$B$35, 0)), ""))</f>
        <v/>
      </c>
    </row>
    <row r="428" ht="65" customHeight="1">
      <c r="A428" s="30" t="n"/>
      <c r="B428" s="30" t="n"/>
      <c r="C428" s="30" t="n"/>
      <c r="D428" s="30" t="n"/>
      <c r="E428" s="30" t="n"/>
      <c r="F428" s="30" t="n"/>
      <c r="G428" s="30" t="n"/>
      <c r="H428" s="30" t="n"/>
      <c r="I428" s="30" t="n"/>
      <c r="J428" s="30" t="n"/>
      <c r="K428" s="30" t="n"/>
      <c r="L428" s="30" t="n"/>
      <c r="M428" s="30" t="n"/>
      <c r="N428" s="30" t="n"/>
      <c r="O428" s="31">
        <f>IF(A428="", "", IFERROR(INDEX(Dashboard!$A$13:$A$35, MATCH(A428, Dashboard!$B$13:$B$35, 0)), ""))</f>
        <v/>
      </c>
    </row>
    <row r="429" ht="65" customHeight="1">
      <c r="A429" s="30" t="n"/>
      <c r="B429" s="30" t="n"/>
      <c r="C429" s="30" t="n"/>
      <c r="D429" s="30" t="n"/>
      <c r="E429" s="30" t="n"/>
      <c r="F429" s="30" t="n"/>
      <c r="G429" s="30" t="n"/>
      <c r="H429" s="30" t="n"/>
      <c r="I429" s="30" t="n"/>
      <c r="J429" s="30" t="n"/>
      <c r="K429" s="30" t="n"/>
      <c r="L429" s="30" t="n"/>
      <c r="M429" s="30" t="n"/>
      <c r="N429" s="30" t="n"/>
      <c r="O429" s="31">
        <f>IF(A429="", "", IFERROR(INDEX(Dashboard!$A$13:$A$35, MATCH(A429, Dashboard!$B$13:$B$35, 0)), ""))</f>
        <v/>
      </c>
    </row>
    <row r="430" ht="65" customHeight="1">
      <c r="A430" s="30" t="n"/>
      <c r="B430" s="30" t="n"/>
      <c r="C430" s="30" t="n"/>
      <c r="D430" s="30" t="n"/>
      <c r="E430" s="30" t="n"/>
      <c r="F430" s="30" t="n"/>
      <c r="G430" s="30" t="n"/>
      <c r="H430" s="30" t="n"/>
      <c r="I430" s="30" t="n"/>
      <c r="J430" s="30" t="n"/>
      <c r="K430" s="30" t="n"/>
      <c r="L430" s="30" t="n"/>
      <c r="M430" s="30" t="n"/>
      <c r="N430" s="30" t="n"/>
      <c r="O430" s="31">
        <f>IF(A430="", "", IFERROR(INDEX(Dashboard!$A$13:$A$35, MATCH(A430, Dashboard!$B$13:$B$35, 0)), ""))</f>
        <v/>
      </c>
    </row>
    <row r="431" ht="65" customHeight="1">
      <c r="A431" s="30" t="n"/>
      <c r="B431" s="30" t="n"/>
      <c r="C431" s="30" t="n"/>
      <c r="D431" s="30" t="n"/>
      <c r="E431" s="30" t="n"/>
      <c r="F431" s="30" t="n"/>
      <c r="G431" s="30" t="n"/>
      <c r="H431" s="30" t="n"/>
      <c r="I431" s="30" t="n"/>
      <c r="J431" s="30" t="n"/>
      <c r="K431" s="30" t="n"/>
      <c r="L431" s="30" t="n"/>
      <c r="M431" s="30" t="n"/>
      <c r="N431" s="30" t="n"/>
      <c r="O431" s="31">
        <f>IF(A431="", "", IFERROR(INDEX(Dashboard!$A$13:$A$35, MATCH(A431, Dashboard!$B$13:$B$35, 0)), ""))</f>
        <v/>
      </c>
    </row>
    <row r="432" ht="65" customHeight="1">
      <c r="A432" s="30" t="n"/>
      <c r="B432" s="30" t="n"/>
      <c r="C432" s="30" t="n"/>
      <c r="D432" s="30" t="n"/>
      <c r="E432" s="30" t="n"/>
      <c r="F432" s="30" t="n"/>
      <c r="G432" s="30" t="n"/>
      <c r="H432" s="30" t="n"/>
      <c r="I432" s="30" t="n"/>
      <c r="J432" s="30" t="n"/>
      <c r="K432" s="30" t="n"/>
      <c r="L432" s="30" t="n"/>
      <c r="M432" s="30" t="n"/>
      <c r="N432" s="30" t="n"/>
      <c r="O432" s="31">
        <f>IF(A432="", "", IFERROR(INDEX(Dashboard!$A$13:$A$35, MATCH(A432, Dashboard!$B$13:$B$35, 0)), ""))</f>
        <v/>
      </c>
    </row>
    <row r="433" ht="65" customHeight="1">
      <c r="A433" s="30" t="n"/>
      <c r="B433" s="30" t="n"/>
      <c r="C433" s="30" t="n"/>
      <c r="D433" s="30" t="n"/>
      <c r="E433" s="30" t="n"/>
      <c r="F433" s="30" t="n"/>
      <c r="G433" s="30" t="n"/>
      <c r="H433" s="30" t="n"/>
      <c r="I433" s="30" t="n"/>
      <c r="J433" s="30" t="n"/>
      <c r="K433" s="30" t="n"/>
      <c r="L433" s="30" t="n"/>
      <c r="M433" s="30" t="n"/>
      <c r="N433" s="30" t="n"/>
      <c r="O433" s="31">
        <f>IF(A433="", "", IFERROR(INDEX(Dashboard!$A$13:$A$35, MATCH(A433, Dashboard!$B$13:$B$35, 0)), ""))</f>
        <v/>
      </c>
    </row>
    <row r="434" ht="65" customHeight="1">
      <c r="A434" s="30" t="n"/>
      <c r="B434" s="30" t="n"/>
      <c r="C434" s="30" t="n"/>
      <c r="D434" s="30" t="n"/>
      <c r="E434" s="30" t="n"/>
      <c r="F434" s="30" t="n"/>
      <c r="G434" s="30" t="n"/>
      <c r="H434" s="30" t="n"/>
      <c r="I434" s="30" t="n"/>
      <c r="J434" s="30" t="n"/>
      <c r="K434" s="30" t="n"/>
      <c r="L434" s="30" t="n"/>
      <c r="M434" s="30" t="n"/>
      <c r="N434" s="30" t="n"/>
      <c r="O434" s="31">
        <f>IF(A434="", "", IFERROR(INDEX(Dashboard!$A$13:$A$35, MATCH(A434, Dashboard!$B$13:$B$35, 0)), ""))</f>
        <v/>
      </c>
    </row>
    <row r="435" ht="65" customHeight="1">
      <c r="A435" s="30" t="n"/>
      <c r="B435" s="30" t="n"/>
      <c r="C435" s="30" t="n"/>
      <c r="D435" s="30" t="n"/>
      <c r="E435" s="30" t="n"/>
      <c r="F435" s="30" t="n"/>
      <c r="G435" s="30" t="n"/>
      <c r="H435" s="30" t="n"/>
      <c r="I435" s="30" t="n"/>
      <c r="J435" s="30" t="n"/>
      <c r="K435" s="30" t="n"/>
      <c r="L435" s="30" t="n"/>
      <c r="M435" s="30" t="n"/>
      <c r="N435" s="30" t="n"/>
      <c r="O435" s="31">
        <f>IF(A435="", "", IFERROR(INDEX(Dashboard!$A$13:$A$35, MATCH(A435, Dashboard!$B$13:$B$35, 0)), ""))</f>
        <v/>
      </c>
    </row>
    <row r="436" ht="65" customHeight="1">
      <c r="A436" s="30" t="n"/>
      <c r="B436" s="30" t="n"/>
      <c r="C436" s="30" t="n"/>
      <c r="D436" s="30" t="n"/>
      <c r="E436" s="30" t="n"/>
      <c r="F436" s="30" t="n"/>
      <c r="G436" s="30" t="n"/>
      <c r="H436" s="30" t="n"/>
      <c r="I436" s="30" t="n"/>
      <c r="J436" s="30" t="n"/>
      <c r="K436" s="30" t="n"/>
      <c r="L436" s="30" t="n"/>
      <c r="M436" s="30" t="n"/>
      <c r="N436" s="30" t="n"/>
      <c r="O436" s="31">
        <f>IF(A436="", "", IFERROR(INDEX(Dashboard!$A$13:$A$35, MATCH(A436, Dashboard!$B$13:$B$35, 0)), ""))</f>
        <v/>
      </c>
    </row>
    <row r="437" ht="65" customHeight="1">
      <c r="A437" s="30" t="n"/>
      <c r="B437" s="30" t="n"/>
      <c r="C437" s="30" t="n"/>
      <c r="D437" s="30" t="n"/>
      <c r="E437" s="30" t="n"/>
      <c r="F437" s="30" t="n"/>
      <c r="G437" s="30" t="n"/>
      <c r="H437" s="30" t="n"/>
      <c r="I437" s="30" t="n"/>
      <c r="J437" s="30" t="n"/>
      <c r="K437" s="30" t="n"/>
      <c r="L437" s="30" t="n"/>
      <c r="M437" s="30" t="n"/>
      <c r="N437" s="30" t="n"/>
      <c r="O437" s="31">
        <f>IF(A437="", "", IFERROR(INDEX(Dashboard!$A$13:$A$35, MATCH(A437, Dashboard!$B$13:$B$35, 0)), ""))</f>
        <v/>
      </c>
    </row>
    <row r="438" ht="65" customHeight="1">
      <c r="A438" s="30" t="n"/>
      <c r="B438" s="30" t="n"/>
      <c r="C438" s="30" t="n"/>
      <c r="D438" s="30" t="n"/>
      <c r="E438" s="30" t="n"/>
      <c r="F438" s="30" t="n"/>
      <c r="G438" s="30" t="n"/>
      <c r="H438" s="30" t="n"/>
      <c r="I438" s="30" t="n"/>
      <c r="J438" s="30" t="n"/>
      <c r="K438" s="30" t="n"/>
      <c r="L438" s="30" t="n"/>
      <c r="M438" s="30" t="n"/>
      <c r="N438" s="30" t="n"/>
      <c r="O438" s="31">
        <f>IF(A438="", "", IFERROR(INDEX(Dashboard!$A$13:$A$35, MATCH(A438, Dashboard!$B$13:$B$35, 0)), ""))</f>
        <v/>
      </c>
    </row>
    <row r="439" ht="65" customHeight="1">
      <c r="A439" s="30" t="n"/>
      <c r="B439" s="30" t="n"/>
      <c r="C439" s="30" t="n"/>
      <c r="D439" s="30" t="n"/>
      <c r="E439" s="30" t="n"/>
      <c r="F439" s="30" t="n"/>
      <c r="G439" s="30" t="n"/>
      <c r="H439" s="30" t="n"/>
      <c r="I439" s="30" t="n"/>
      <c r="J439" s="30" t="n"/>
      <c r="K439" s="30" t="n"/>
      <c r="L439" s="30" t="n"/>
      <c r="M439" s="30" t="n"/>
      <c r="N439" s="30" t="n"/>
      <c r="O439" s="31">
        <f>IF(A439="", "", IFERROR(INDEX(Dashboard!$A$13:$A$35, MATCH(A439, Dashboard!$B$13:$B$35, 0)), ""))</f>
        <v/>
      </c>
    </row>
    <row r="440" ht="65" customHeight="1">
      <c r="A440" s="30" t="n"/>
      <c r="B440" s="30" t="n"/>
      <c r="C440" s="30" t="n"/>
      <c r="D440" s="30" t="n"/>
      <c r="E440" s="30" t="n"/>
      <c r="F440" s="30" t="n"/>
      <c r="G440" s="30" t="n"/>
      <c r="H440" s="30" t="n"/>
      <c r="I440" s="30" t="n"/>
      <c r="J440" s="30" t="n"/>
      <c r="K440" s="30" t="n"/>
      <c r="L440" s="30" t="n"/>
      <c r="M440" s="30" t="n"/>
      <c r="N440" s="30" t="n"/>
      <c r="O440" s="31">
        <f>IF(A440="", "", IFERROR(INDEX(Dashboard!$A$13:$A$35, MATCH(A440, Dashboard!$B$13:$B$35, 0)), ""))</f>
        <v/>
      </c>
    </row>
    <row r="441" ht="65" customHeight="1">
      <c r="A441" s="30" t="n"/>
      <c r="B441" s="30" t="n"/>
      <c r="C441" s="30" t="n"/>
      <c r="D441" s="30" t="n"/>
      <c r="E441" s="30" t="n"/>
      <c r="F441" s="30" t="n"/>
      <c r="G441" s="30" t="n"/>
      <c r="H441" s="30" t="n"/>
      <c r="I441" s="30" t="n"/>
      <c r="J441" s="30" t="n"/>
      <c r="K441" s="30" t="n"/>
      <c r="L441" s="30" t="n"/>
      <c r="M441" s="30" t="n"/>
      <c r="N441" s="30" t="n"/>
      <c r="O441" s="31">
        <f>IF(A441="", "", IFERROR(INDEX(Dashboard!$A$13:$A$35, MATCH(A441, Dashboard!$B$13:$B$35, 0)), ""))</f>
        <v/>
      </c>
    </row>
    <row r="442" ht="65" customHeight="1">
      <c r="A442" s="30" t="n"/>
      <c r="B442" s="30" t="n"/>
      <c r="C442" s="30" t="n"/>
      <c r="D442" s="30" t="n"/>
      <c r="E442" s="30" t="n"/>
      <c r="F442" s="30" t="n"/>
      <c r="G442" s="30" t="n"/>
      <c r="H442" s="30" t="n"/>
      <c r="I442" s="30" t="n"/>
      <c r="J442" s="30" t="n"/>
      <c r="K442" s="30" t="n"/>
      <c r="L442" s="30" t="n"/>
      <c r="M442" s="30" t="n"/>
      <c r="N442" s="30" t="n"/>
      <c r="O442" s="31">
        <f>IF(A442="", "", IFERROR(INDEX(Dashboard!$A$13:$A$35, MATCH(A442, Dashboard!$B$13:$B$35, 0)), ""))</f>
        <v/>
      </c>
    </row>
    <row r="443" ht="65" customHeight="1">
      <c r="A443" s="30" t="n"/>
      <c r="B443" s="30" t="n"/>
      <c r="C443" s="30" t="n"/>
      <c r="D443" s="30" t="n"/>
      <c r="E443" s="30" t="n"/>
      <c r="F443" s="30" t="n"/>
      <c r="G443" s="30" t="n"/>
      <c r="H443" s="30" t="n"/>
      <c r="I443" s="30" t="n"/>
      <c r="J443" s="30" t="n"/>
      <c r="K443" s="30" t="n"/>
      <c r="L443" s="30" t="n"/>
      <c r="M443" s="30" t="n"/>
      <c r="N443" s="30" t="n"/>
      <c r="O443" s="31">
        <f>IF(A443="", "", IFERROR(INDEX(Dashboard!$A$13:$A$35, MATCH(A443, Dashboard!$B$13:$B$35, 0)), ""))</f>
        <v/>
      </c>
    </row>
    <row r="444" ht="65" customHeight="1">
      <c r="A444" s="30" t="n"/>
      <c r="B444" s="30" t="n"/>
      <c r="C444" s="30" t="n"/>
      <c r="D444" s="30" t="n"/>
      <c r="E444" s="30" t="n"/>
      <c r="F444" s="30" t="n"/>
      <c r="G444" s="30" t="n"/>
      <c r="H444" s="30" t="n"/>
      <c r="I444" s="30" t="n"/>
      <c r="J444" s="30" t="n"/>
      <c r="K444" s="30" t="n"/>
      <c r="L444" s="30" t="n"/>
      <c r="M444" s="30" t="n"/>
      <c r="N444" s="30" t="n"/>
      <c r="O444" s="31">
        <f>IF(A444="", "", IFERROR(INDEX(Dashboard!$A$13:$A$35, MATCH(A444, Dashboard!$B$13:$B$35, 0)), ""))</f>
        <v/>
      </c>
    </row>
    <row r="445" ht="65" customHeight="1">
      <c r="A445" s="30" t="n"/>
      <c r="B445" s="30" t="n"/>
      <c r="C445" s="30" t="n"/>
      <c r="D445" s="30" t="n"/>
      <c r="E445" s="30" t="n"/>
      <c r="F445" s="30" t="n"/>
      <c r="G445" s="30" t="n"/>
      <c r="H445" s="30" t="n"/>
      <c r="I445" s="30" t="n"/>
      <c r="J445" s="30" t="n"/>
      <c r="K445" s="30" t="n"/>
      <c r="L445" s="30" t="n"/>
      <c r="M445" s="30" t="n"/>
      <c r="N445" s="30" t="n"/>
      <c r="O445" s="31">
        <f>IF(A445="", "", IFERROR(INDEX(Dashboard!$A$13:$A$35, MATCH(A445, Dashboard!$B$13:$B$35, 0)), ""))</f>
        <v/>
      </c>
    </row>
    <row r="446" ht="65" customHeight="1">
      <c r="A446" s="30" t="n"/>
      <c r="B446" s="30" t="n"/>
      <c r="C446" s="30" t="n"/>
      <c r="D446" s="30" t="n"/>
      <c r="E446" s="30" t="n"/>
      <c r="F446" s="30" t="n"/>
      <c r="G446" s="30" t="n"/>
      <c r="H446" s="30" t="n"/>
      <c r="I446" s="30" t="n"/>
      <c r="J446" s="30" t="n"/>
      <c r="K446" s="30" t="n"/>
      <c r="L446" s="30" t="n"/>
      <c r="M446" s="30" t="n"/>
      <c r="N446" s="30" t="n"/>
      <c r="O446" s="31">
        <f>IF(A446="", "", IFERROR(INDEX(Dashboard!$A$13:$A$35, MATCH(A446, Dashboard!$B$13:$B$35, 0)), ""))</f>
        <v/>
      </c>
    </row>
    <row r="447" ht="65" customHeight="1">
      <c r="A447" s="30" t="n"/>
      <c r="B447" s="30" t="n"/>
      <c r="C447" s="30" t="n"/>
      <c r="D447" s="30" t="n"/>
      <c r="E447" s="30" t="n"/>
      <c r="F447" s="30" t="n"/>
      <c r="G447" s="30" t="n"/>
      <c r="H447" s="30" t="n"/>
      <c r="I447" s="30" t="n"/>
      <c r="J447" s="30" t="n"/>
      <c r="K447" s="30" t="n"/>
      <c r="L447" s="30" t="n"/>
      <c r="M447" s="30" t="n"/>
      <c r="N447" s="30" t="n"/>
      <c r="O447" s="31">
        <f>IF(A447="", "", IFERROR(INDEX(Dashboard!$A$13:$A$35, MATCH(A447, Dashboard!$B$13:$B$35, 0)), ""))</f>
        <v/>
      </c>
    </row>
    <row r="448" ht="65" customHeight="1">
      <c r="A448" s="30" t="n"/>
      <c r="B448" s="30" t="n"/>
      <c r="C448" s="30" t="n"/>
      <c r="D448" s="30" t="n"/>
      <c r="E448" s="30" t="n"/>
      <c r="F448" s="30" t="n"/>
      <c r="G448" s="30" t="n"/>
      <c r="H448" s="30" t="n"/>
      <c r="I448" s="30" t="n"/>
      <c r="J448" s="30" t="n"/>
      <c r="K448" s="30" t="n"/>
      <c r="L448" s="30" t="n"/>
      <c r="M448" s="30" t="n"/>
      <c r="N448" s="30" t="n"/>
      <c r="O448" s="31">
        <f>IF(A448="", "", IFERROR(INDEX(Dashboard!$A$13:$A$35, MATCH(A448, Dashboard!$B$13:$B$35, 0)), ""))</f>
        <v/>
      </c>
    </row>
    <row r="449" ht="65" customHeight="1">
      <c r="A449" s="30" t="n"/>
      <c r="B449" s="30" t="n"/>
      <c r="C449" s="30" t="n"/>
      <c r="D449" s="30" t="n"/>
      <c r="E449" s="30" t="n"/>
      <c r="F449" s="30" t="n"/>
      <c r="G449" s="30" t="n"/>
      <c r="H449" s="30" t="n"/>
      <c r="I449" s="30" t="n"/>
      <c r="J449" s="30" t="n"/>
      <c r="K449" s="30" t="n"/>
      <c r="L449" s="30" t="n"/>
      <c r="M449" s="30" t="n"/>
      <c r="N449" s="30" t="n"/>
      <c r="O449" s="31">
        <f>IF(A449="", "", IFERROR(INDEX(Dashboard!$A$13:$A$35, MATCH(A449, Dashboard!$B$13:$B$35, 0)), ""))</f>
        <v/>
      </c>
    </row>
    <row r="450" ht="65" customHeight="1">
      <c r="A450" s="30" t="n"/>
      <c r="B450" s="30" t="n"/>
      <c r="C450" s="30" t="n"/>
      <c r="D450" s="30" t="n"/>
      <c r="E450" s="30" t="n"/>
      <c r="F450" s="30" t="n"/>
      <c r="G450" s="30" t="n"/>
      <c r="H450" s="30" t="n"/>
      <c r="I450" s="30" t="n"/>
      <c r="J450" s="30" t="n"/>
      <c r="K450" s="30" t="n"/>
      <c r="L450" s="30" t="n"/>
      <c r="M450" s="30" t="n"/>
      <c r="N450" s="30" t="n"/>
      <c r="O450" s="31">
        <f>IF(A450="", "", IFERROR(INDEX(Dashboard!$A$13:$A$35, MATCH(A450, Dashboard!$B$13:$B$35, 0)), ""))</f>
        <v/>
      </c>
    </row>
    <row r="451" ht="65" customHeight="1">
      <c r="A451" s="30" t="n"/>
      <c r="B451" s="30" t="n"/>
      <c r="C451" s="30" t="n"/>
      <c r="D451" s="30" t="n"/>
      <c r="E451" s="30" t="n"/>
      <c r="F451" s="30" t="n"/>
      <c r="G451" s="30" t="n"/>
      <c r="H451" s="30" t="n"/>
      <c r="I451" s="30" t="n"/>
      <c r="J451" s="30" t="n"/>
      <c r="K451" s="30" t="n"/>
      <c r="L451" s="30" t="n"/>
      <c r="M451" s="30" t="n"/>
      <c r="N451" s="30" t="n"/>
      <c r="O451" s="31">
        <f>IF(A451="", "", IFERROR(INDEX(Dashboard!$A$13:$A$35, MATCH(A451, Dashboard!$B$13:$B$35, 0)), ""))</f>
        <v/>
      </c>
    </row>
    <row r="452" ht="65" customHeight="1">
      <c r="A452" s="30" t="n"/>
      <c r="B452" s="30" t="n"/>
      <c r="C452" s="30" t="n"/>
      <c r="D452" s="30" t="n"/>
      <c r="E452" s="30" t="n"/>
      <c r="F452" s="30" t="n"/>
      <c r="G452" s="30" t="n"/>
      <c r="H452" s="30" t="n"/>
      <c r="I452" s="30" t="n"/>
      <c r="J452" s="30" t="n"/>
      <c r="K452" s="30" t="n"/>
      <c r="L452" s="30" t="n"/>
      <c r="M452" s="30" t="n"/>
      <c r="N452" s="30" t="n"/>
      <c r="O452" s="31">
        <f>IF(A452="", "", IFERROR(INDEX(Dashboard!$A$13:$A$35, MATCH(A452, Dashboard!$B$13:$B$35, 0)), ""))</f>
        <v/>
      </c>
    </row>
    <row r="453" ht="65" customHeight="1">
      <c r="A453" s="30" t="n"/>
      <c r="B453" s="30" t="n"/>
      <c r="C453" s="30" t="n"/>
      <c r="D453" s="30" t="n"/>
      <c r="E453" s="30" t="n"/>
      <c r="F453" s="30" t="n"/>
      <c r="G453" s="30" t="n"/>
      <c r="H453" s="30" t="n"/>
      <c r="I453" s="30" t="n"/>
      <c r="J453" s="30" t="n"/>
      <c r="K453" s="30" t="n"/>
      <c r="L453" s="30" t="n"/>
      <c r="M453" s="30" t="n"/>
      <c r="N453" s="30" t="n"/>
      <c r="O453" s="31">
        <f>IF(A453="", "", IFERROR(INDEX(Dashboard!$A$13:$A$35, MATCH(A453, Dashboard!$B$13:$B$35, 0)), ""))</f>
        <v/>
      </c>
    </row>
    <row r="454" ht="65" customHeight="1">
      <c r="A454" s="30" t="n"/>
      <c r="B454" s="30" t="n"/>
      <c r="C454" s="30" t="n"/>
      <c r="D454" s="30" t="n"/>
      <c r="E454" s="30" t="n"/>
      <c r="F454" s="30" t="n"/>
      <c r="G454" s="30" t="n"/>
      <c r="H454" s="30" t="n"/>
      <c r="I454" s="30" t="n"/>
      <c r="J454" s="30" t="n"/>
      <c r="K454" s="30" t="n"/>
      <c r="L454" s="30" t="n"/>
      <c r="M454" s="30" t="n"/>
      <c r="N454" s="30" t="n"/>
      <c r="O454" s="31">
        <f>IF(A454="", "", IFERROR(INDEX(Dashboard!$A$13:$A$35, MATCH(A454, Dashboard!$B$13:$B$35, 0)), ""))</f>
        <v/>
      </c>
    </row>
    <row r="455" ht="65" customHeight="1">
      <c r="A455" s="30" t="n"/>
      <c r="B455" s="30" t="n"/>
      <c r="C455" s="30" t="n"/>
      <c r="D455" s="30" t="n"/>
      <c r="E455" s="30" t="n"/>
      <c r="F455" s="30" t="n"/>
      <c r="G455" s="30" t="n"/>
      <c r="H455" s="30" t="n"/>
      <c r="I455" s="30" t="n"/>
      <c r="J455" s="30" t="n"/>
      <c r="K455" s="30" t="n"/>
      <c r="L455" s="30" t="n"/>
      <c r="M455" s="30" t="n"/>
      <c r="N455" s="30" t="n"/>
      <c r="O455" s="31">
        <f>IF(A455="", "", IFERROR(INDEX(Dashboard!$A$13:$A$35, MATCH(A455, Dashboard!$B$13:$B$35, 0)), ""))</f>
        <v/>
      </c>
    </row>
    <row r="456" ht="65" customHeight="1">
      <c r="A456" s="30" t="n"/>
      <c r="B456" s="30" t="n"/>
      <c r="C456" s="30" t="n"/>
      <c r="D456" s="30" t="n"/>
      <c r="E456" s="30" t="n"/>
      <c r="F456" s="30" t="n"/>
      <c r="G456" s="30" t="n"/>
      <c r="H456" s="30" t="n"/>
      <c r="I456" s="30" t="n"/>
      <c r="J456" s="30" t="n"/>
      <c r="K456" s="30" t="n"/>
      <c r="L456" s="30" t="n"/>
      <c r="M456" s="30" t="n"/>
      <c r="N456" s="30" t="n"/>
      <c r="O456" s="31">
        <f>IF(A456="", "", IFERROR(INDEX(Dashboard!$A$13:$A$35, MATCH(A456, Dashboard!$B$13:$B$35, 0)), ""))</f>
        <v/>
      </c>
    </row>
    <row r="457" ht="65" customHeight="1">
      <c r="A457" s="30" t="n"/>
      <c r="B457" s="30" t="n"/>
      <c r="C457" s="30" t="n"/>
      <c r="D457" s="30" t="n"/>
      <c r="E457" s="30" t="n"/>
      <c r="F457" s="30" t="n"/>
      <c r="G457" s="30" t="n"/>
      <c r="H457" s="30" t="n"/>
      <c r="I457" s="30" t="n"/>
      <c r="J457" s="30" t="n"/>
      <c r="K457" s="30" t="n"/>
      <c r="L457" s="30" t="n"/>
      <c r="M457" s="30" t="n"/>
      <c r="N457" s="30" t="n"/>
      <c r="O457" s="31">
        <f>IF(A457="", "", IFERROR(INDEX(Dashboard!$A$13:$A$35, MATCH(A457, Dashboard!$B$13:$B$35, 0)), ""))</f>
        <v/>
      </c>
    </row>
    <row r="458" ht="65" customHeight="1">
      <c r="A458" s="30" t="n"/>
      <c r="B458" s="30" t="n"/>
      <c r="C458" s="30" t="n"/>
      <c r="D458" s="30" t="n"/>
      <c r="E458" s="30" t="n"/>
      <c r="F458" s="30" t="n"/>
      <c r="G458" s="30" t="n"/>
      <c r="H458" s="30" t="n"/>
      <c r="I458" s="30" t="n"/>
      <c r="J458" s="30" t="n"/>
      <c r="K458" s="30" t="n"/>
      <c r="L458" s="30" t="n"/>
      <c r="M458" s="30" t="n"/>
      <c r="N458" s="30" t="n"/>
      <c r="O458" s="31">
        <f>IF(A458="", "", IFERROR(INDEX(Dashboard!$A$13:$A$35, MATCH(A458, Dashboard!$B$13:$B$35, 0)), ""))</f>
        <v/>
      </c>
    </row>
    <row r="459" ht="65" customHeight="1">
      <c r="A459" s="30" t="n"/>
      <c r="B459" s="30" t="n"/>
      <c r="C459" s="30" t="n"/>
      <c r="D459" s="30" t="n"/>
      <c r="E459" s="30" t="n"/>
      <c r="F459" s="30" t="n"/>
      <c r="G459" s="30" t="n"/>
      <c r="H459" s="30" t="n"/>
      <c r="I459" s="30" t="n"/>
      <c r="J459" s="30" t="n"/>
      <c r="K459" s="30" t="n"/>
      <c r="L459" s="30" t="n"/>
      <c r="M459" s="30" t="n"/>
      <c r="N459" s="30" t="n"/>
      <c r="O459" s="31">
        <f>IF(A459="", "", IFERROR(INDEX(Dashboard!$A$13:$A$35, MATCH(A459, Dashboard!$B$13:$B$35, 0)), ""))</f>
        <v/>
      </c>
    </row>
    <row r="460" ht="65" customHeight="1">
      <c r="A460" s="30" t="n"/>
      <c r="B460" s="30" t="n"/>
      <c r="C460" s="30" t="n"/>
      <c r="D460" s="30" t="n"/>
      <c r="E460" s="30" t="n"/>
      <c r="F460" s="30" t="n"/>
      <c r="G460" s="30" t="n"/>
      <c r="H460" s="30" t="n"/>
      <c r="I460" s="30" t="n"/>
      <c r="J460" s="30" t="n"/>
      <c r="K460" s="30" t="n"/>
      <c r="L460" s="30" t="n"/>
      <c r="M460" s="30" t="n"/>
      <c r="N460" s="30" t="n"/>
      <c r="O460" s="31">
        <f>IF(A460="", "", IFERROR(INDEX(Dashboard!$A$13:$A$35, MATCH(A460, Dashboard!$B$13:$B$35, 0)), ""))</f>
        <v/>
      </c>
    </row>
    <row r="461" ht="65" customHeight="1">
      <c r="A461" s="30" t="n"/>
      <c r="B461" s="30" t="n"/>
      <c r="C461" s="30" t="n"/>
      <c r="D461" s="30" t="n"/>
      <c r="E461" s="30" t="n"/>
      <c r="F461" s="30" t="n"/>
      <c r="G461" s="30" t="n"/>
      <c r="H461" s="30" t="n"/>
      <c r="I461" s="30" t="n"/>
      <c r="J461" s="30" t="n"/>
      <c r="K461" s="30" t="n"/>
      <c r="L461" s="30" t="n"/>
      <c r="M461" s="30" t="n"/>
      <c r="N461" s="30" t="n"/>
      <c r="O461" s="31">
        <f>IF(A461="", "", IFERROR(INDEX(Dashboard!$A$13:$A$35, MATCH(A461, Dashboard!$B$13:$B$35, 0)), ""))</f>
        <v/>
      </c>
    </row>
    <row r="462" ht="65" customHeight="1">
      <c r="A462" s="30" t="n"/>
      <c r="B462" s="30" t="n"/>
      <c r="C462" s="30" t="n"/>
      <c r="D462" s="30" t="n"/>
      <c r="E462" s="30" t="n"/>
      <c r="F462" s="30" t="n"/>
      <c r="G462" s="30" t="n"/>
      <c r="H462" s="30" t="n"/>
      <c r="I462" s="30" t="n"/>
      <c r="J462" s="30" t="n"/>
      <c r="K462" s="30" t="n"/>
      <c r="L462" s="30" t="n"/>
      <c r="M462" s="30" t="n"/>
      <c r="N462" s="30" t="n"/>
      <c r="O462" s="31">
        <f>IF(A462="", "", IFERROR(INDEX(Dashboard!$A$13:$A$35, MATCH(A462, Dashboard!$B$13:$B$35, 0)), ""))</f>
        <v/>
      </c>
    </row>
    <row r="463" ht="65" customHeight="1">
      <c r="A463" s="30" t="n"/>
      <c r="B463" s="30" t="n"/>
      <c r="C463" s="30" t="n"/>
      <c r="D463" s="30" t="n"/>
      <c r="E463" s="30" t="n"/>
      <c r="F463" s="30" t="n"/>
      <c r="G463" s="30" t="n"/>
      <c r="H463" s="30" t="n"/>
      <c r="I463" s="30" t="n"/>
      <c r="J463" s="30" t="n"/>
      <c r="K463" s="30" t="n"/>
      <c r="L463" s="30" t="n"/>
      <c r="M463" s="30" t="n"/>
      <c r="N463" s="30" t="n"/>
      <c r="O463" s="31">
        <f>IF(A463="", "", IFERROR(INDEX(Dashboard!$A$13:$A$35, MATCH(A463, Dashboard!$B$13:$B$35, 0)), ""))</f>
        <v/>
      </c>
    </row>
    <row r="464" ht="65" customHeight="1">
      <c r="A464" s="30" t="n"/>
      <c r="B464" s="30" t="n"/>
      <c r="C464" s="30" t="n"/>
      <c r="D464" s="30" t="n"/>
      <c r="E464" s="30" t="n"/>
      <c r="F464" s="30" t="n"/>
      <c r="G464" s="30" t="n"/>
      <c r="H464" s="30" t="n"/>
      <c r="I464" s="30" t="n"/>
      <c r="J464" s="30" t="n"/>
      <c r="K464" s="30" t="n"/>
      <c r="L464" s="30" t="n"/>
      <c r="M464" s="30" t="n"/>
      <c r="N464" s="30" t="n"/>
      <c r="O464" s="31">
        <f>IF(A464="", "", IFERROR(INDEX(Dashboard!$A$13:$A$35, MATCH(A464, Dashboard!$B$13:$B$35, 0)), ""))</f>
        <v/>
      </c>
    </row>
    <row r="465" ht="65" customHeight="1">
      <c r="A465" s="30" t="n"/>
      <c r="B465" s="30" t="n"/>
      <c r="C465" s="30" t="n"/>
      <c r="D465" s="30" t="n"/>
      <c r="E465" s="30" t="n"/>
      <c r="F465" s="30" t="n"/>
      <c r="G465" s="30" t="n"/>
      <c r="H465" s="30" t="n"/>
      <c r="I465" s="30" t="n"/>
      <c r="J465" s="30" t="n"/>
      <c r="K465" s="30" t="n"/>
      <c r="L465" s="30" t="n"/>
      <c r="M465" s="30" t="n"/>
      <c r="N465" s="30" t="n"/>
      <c r="O465" s="31">
        <f>IF(A465="", "", IFERROR(INDEX(Dashboard!$A$13:$A$35, MATCH(A465, Dashboard!$B$13:$B$35, 0)), ""))</f>
        <v/>
      </c>
    </row>
    <row r="466" ht="65" customHeight="1">
      <c r="A466" s="30" t="n"/>
      <c r="B466" s="30" t="n"/>
      <c r="C466" s="30" t="n"/>
      <c r="D466" s="30" t="n"/>
      <c r="E466" s="30" t="n"/>
      <c r="F466" s="30" t="n"/>
      <c r="G466" s="30" t="n"/>
      <c r="H466" s="30" t="n"/>
      <c r="I466" s="30" t="n"/>
      <c r="J466" s="30" t="n"/>
      <c r="K466" s="30" t="n"/>
      <c r="L466" s="30" t="n"/>
      <c r="M466" s="30" t="n"/>
      <c r="N466" s="30" t="n"/>
      <c r="O466" s="31">
        <f>IF(A466="", "", IFERROR(INDEX(Dashboard!$A$13:$A$35, MATCH(A466, Dashboard!$B$13:$B$35, 0)), ""))</f>
        <v/>
      </c>
    </row>
    <row r="467" ht="65" customHeight="1">
      <c r="A467" s="30" t="n"/>
      <c r="B467" s="30" t="n"/>
      <c r="C467" s="30" t="n"/>
      <c r="D467" s="30" t="n"/>
      <c r="E467" s="30" t="n"/>
      <c r="F467" s="30" t="n"/>
      <c r="G467" s="30" t="n"/>
      <c r="H467" s="30" t="n"/>
      <c r="I467" s="30" t="n"/>
      <c r="J467" s="30" t="n"/>
      <c r="K467" s="30" t="n"/>
      <c r="L467" s="30" t="n"/>
      <c r="M467" s="30" t="n"/>
      <c r="N467" s="30" t="n"/>
      <c r="O467" s="31">
        <f>IF(A467="", "", IFERROR(INDEX(Dashboard!$A$13:$A$35, MATCH(A467, Dashboard!$B$13:$B$35, 0)), ""))</f>
        <v/>
      </c>
    </row>
    <row r="468" ht="65" customHeight="1">
      <c r="A468" s="30" t="n"/>
      <c r="B468" s="30" t="n"/>
      <c r="C468" s="30" t="n"/>
      <c r="D468" s="30" t="n"/>
      <c r="E468" s="30" t="n"/>
      <c r="F468" s="30" t="n"/>
      <c r="G468" s="30" t="n"/>
      <c r="H468" s="30" t="n"/>
      <c r="I468" s="30" t="n"/>
      <c r="J468" s="30" t="n"/>
      <c r="K468" s="30" t="n"/>
      <c r="L468" s="30" t="n"/>
      <c r="M468" s="30" t="n"/>
      <c r="N468" s="30" t="n"/>
      <c r="O468" s="31">
        <f>IF(A468="", "", IFERROR(INDEX(Dashboard!$A$13:$A$35, MATCH(A468, Dashboard!$B$13:$B$35, 0)), ""))</f>
        <v/>
      </c>
    </row>
    <row r="469" ht="65" customHeight="1">
      <c r="A469" s="30" t="n"/>
      <c r="B469" s="30" t="n"/>
      <c r="C469" s="30" t="n"/>
      <c r="D469" s="30" t="n"/>
      <c r="E469" s="30" t="n"/>
      <c r="F469" s="30" t="n"/>
      <c r="G469" s="30" t="n"/>
      <c r="H469" s="30" t="n"/>
      <c r="I469" s="30" t="n"/>
      <c r="J469" s="30" t="n"/>
      <c r="K469" s="30" t="n"/>
      <c r="L469" s="30" t="n"/>
      <c r="M469" s="30" t="n"/>
      <c r="N469" s="30" t="n"/>
      <c r="O469" s="31">
        <f>IF(A469="", "", IFERROR(INDEX(Dashboard!$A$13:$A$35, MATCH(A469, Dashboard!$B$13:$B$35, 0)), ""))</f>
        <v/>
      </c>
    </row>
    <row r="470" ht="65" customHeight="1">
      <c r="A470" s="30" t="n"/>
      <c r="B470" s="30" t="n"/>
      <c r="C470" s="30" t="n"/>
      <c r="D470" s="30" t="n"/>
      <c r="E470" s="30" t="n"/>
      <c r="F470" s="30" t="n"/>
      <c r="G470" s="30" t="n"/>
      <c r="H470" s="30" t="n"/>
      <c r="I470" s="30" t="n"/>
      <c r="J470" s="30" t="n"/>
      <c r="K470" s="30" t="n"/>
      <c r="L470" s="30" t="n"/>
      <c r="M470" s="30" t="n"/>
      <c r="N470" s="30" t="n"/>
      <c r="O470" s="31">
        <f>IF(A470="", "", IFERROR(INDEX(Dashboard!$A$13:$A$35, MATCH(A470, Dashboard!$B$13:$B$35, 0)), ""))</f>
        <v/>
      </c>
    </row>
    <row r="471" ht="65" customHeight="1">
      <c r="A471" s="30" t="n"/>
      <c r="B471" s="30" t="n"/>
      <c r="C471" s="30" t="n"/>
      <c r="D471" s="30" t="n"/>
      <c r="E471" s="30" t="n"/>
      <c r="F471" s="30" t="n"/>
      <c r="G471" s="30" t="n"/>
      <c r="H471" s="30" t="n"/>
      <c r="I471" s="30" t="n"/>
      <c r="J471" s="30" t="n"/>
      <c r="K471" s="30" t="n"/>
      <c r="L471" s="30" t="n"/>
      <c r="M471" s="30" t="n"/>
      <c r="N471" s="30" t="n"/>
      <c r="O471" s="31">
        <f>IF(A471="", "", IFERROR(INDEX(Dashboard!$A$13:$A$35, MATCH(A471, Dashboard!$B$13:$B$35, 0)), ""))</f>
        <v/>
      </c>
    </row>
    <row r="472" ht="65" customHeight="1">
      <c r="A472" s="30" t="n"/>
      <c r="B472" s="30" t="n"/>
      <c r="C472" s="30" t="n"/>
      <c r="D472" s="30" t="n"/>
      <c r="E472" s="30" t="n"/>
      <c r="F472" s="30" t="n"/>
      <c r="G472" s="30" t="n"/>
      <c r="H472" s="30" t="n"/>
      <c r="I472" s="30" t="n"/>
      <c r="J472" s="30" t="n"/>
      <c r="K472" s="30" t="n"/>
      <c r="L472" s="30" t="n"/>
      <c r="M472" s="30" t="n"/>
      <c r="N472" s="30" t="n"/>
      <c r="O472" s="31">
        <f>IF(A472="", "", IFERROR(INDEX(Dashboard!$A$13:$A$35, MATCH(A472, Dashboard!$B$13:$B$35, 0)), ""))</f>
        <v/>
      </c>
    </row>
    <row r="473" ht="65" customHeight="1">
      <c r="A473" s="30" t="n"/>
      <c r="B473" s="30" t="n"/>
      <c r="C473" s="30" t="n"/>
      <c r="D473" s="30" t="n"/>
      <c r="E473" s="30" t="n"/>
      <c r="F473" s="30" t="n"/>
      <c r="G473" s="30" t="n"/>
      <c r="H473" s="30" t="n"/>
      <c r="I473" s="30" t="n"/>
      <c r="J473" s="30" t="n"/>
      <c r="K473" s="30" t="n"/>
      <c r="L473" s="30" t="n"/>
      <c r="M473" s="30" t="n"/>
      <c r="N473" s="30" t="n"/>
      <c r="O473" s="31">
        <f>IF(A473="", "", IFERROR(INDEX(Dashboard!$A$13:$A$35, MATCH(A473, Dashboard!$B$13:$B$35, 0)), ""))</f>
        <v/>
      </c>
    </row>
    <row r="474" ht="65" customHeight="1">
      <c r="A474" s="30" t="n"/>
      <c r="B474" s="30" t="n"/>
      <c r="C474" s="30" t="n"/>
      <c r="D474" s="30" t="n"/>
      <c r="E474" s="30" t="n"/>
      <c r="F474" s="30" t="n"/>
      <c r="G474" s="30" t="n"/>
      <c r="H474" s="30" t="n"/>
      <c r="I474" s="30" t="n"/>
      <c r="J474" s="30" t="n"/>
      <c r="K474" s="30" t="n"/>
      <c r="L474" s="30" t="n"/>
      <c r="M474" s="30" t="n"/>
      <c r="N474" s="30" t="n"/>
      <c r="O474" s="31">
        <f>IF(A474="", "", IFERROR(INDEX(Dashboard!$A$13:$A$35, MATCH(A474, Dashboard!$B$13:$B$35, 0)), ""))</f>
        <v/>
      </c>
    </row>
    <row r="475" ht="65" customHeight="1">
      <c r="A475" s="30" t="n"/>
      <c r="B475" s="30" t="n"/>
      <c r="C475" s="30" t="n"/>
      <c r="D475" s="30" t="n"/>
      <c r="E475" s="30" t="n"/>
      <c r="F475" s="30" t="n"/>
      <c r="G475" s="30" t="n"/>
      <c r="H475" s="30" t="n"/>
      <c r="I475" s="30" t="n"/>
      <c r="J475" s="30" t="n"/>
      <c r="K475" s="30" t="n"/>
      <c r="L475" s="30" t="n"/>
      <c r="M475" s="30" t="n"/>
      <c r="N475" s="30" t="n"/>
      <c r="O475" s="31">
        <f>IF(A475="", "", IFERROR(INDEX(Dashboard!$A$13:$A$35, MATCH(A475, Dashboard!$B$13:$B$35, 0)), ""))</f>
        <v/>
      </c>
    </row>
    <row r="476" ht="65" customHeight="1">
      <c r="A476" s="30" t="n"/>
      <c r="B476" s="30" t="n"/>
      <c r="C476" s="30" t="n"/>
      <c r="D476" s="30" t="n"/>
      <c r="E476" s="30" t="n"/>
      <c r="F476" s="30" t="n"/>
      <c r="G476" s="30" t="n"/>
      <c r="H476" s="30" t="n"/>
      <c r="I476" s="30" t="n"/>
      <c r="J476" s="30" t="n"/>
      <c r="K476" s="30" t="n"/>
      <c r="L476" s="30" t="n"/>
      <c r="M476" s="30" t="n"/>
      <c r="N476" s="30" t="n"/>
      <c r="O476" s="31">
        <f>IF(A476="", "", IFERROR(INDEX(Dashboard!$A$13:$A$35, MATCH(A476, Dashboard!$B$13:$B$35, 0)), ""))</f>
        <v/>
      </c>
    </row>
    <row r="477" ht="65" customHeight="1">
      <c r="A477" s="30" t="n"/>
      <c r="B477" s="30" t="n"/>
      <c r="C477" s="30" t="n"/>
      <c r="D477" s="30" t="n"/>
      <c r="E477" s="30" t="n"/>
      <c r="F477" s="30" t="n"/>
      <c r="G477" s="30" t="n"/>
      <c r="H477" s="30" t="n"/>
      <c r="I477" s="30" t="n"/>
      <c r="J477" s="30" t="n"/>
      <c r="K477" s="30" t="n"/>
      <c r="L477" s="30" t="n"/>
      <c r="M477" s="30" t="n"/>
      <c r="N477" s="30" t="n"/>
      <c r="O477" s="31">
        <f>IF(A477="", "", IFERROR(INDEX(Dashboard!$A$13:$A$35, MATCH(A477, Dashboard!$B$13:$B$35, 0)), ""))</f>
        <v/>
      </c>
    </row>
    <row r="478" ht="65" customHeight="1">
      <c r="A478" s="30" t="n"/>
      <c r="B478" s="30" t="n"/>
      <c r="C478" s="30" t="n"/>
      <c r="D478" s="30" t="n"/>
      <c r="E478" s="30" t="n"/>
      <c r="F478" s="30" t="n"/>
      <c r="G478" s="30" t="n"/>
      <c r="H478" s="30" t="n"/>
      <c r="I478" s="30" t="n"/>
      <c r="J478" s="30" t="n"/>
      <c r="K478" s="30" t="n"/>
      <c r="L478" s="30" t="n"/>
      <c r="M478" s="30" t="n"/>
      <c r="N478" s="30" t="n"/>
      <c r="O478" s="31">
        <f>IF(A478="", "", IFERROR(INDEX(Dashboard!$A$13:$A$35, MATCH(A478, Dashboard!$B$13:$B$35, 0)), ""))</f>
        <v/>
      </c>
    </row>
    <row r="479" ht="65" customHeight="1">
      <c r="A479" s="30" t="n"/>
      <c r="B479" s="30" t="n"/>
      <c r="C479" s="30" t="n"/>
      <c r="D479" s="30" t="n"/>
      <c r="E479" s="30" t="n"/>
      <c r="F479" s="30" t="n"/>
      <c r="G479" s="30" t="n"/>
      <c r="H479" s="30" t="n"/>
      <c r="I479" s="30" t="n"/>
      <c r="J479" s="30" t="n"/>
      <c r="K479" s="30" t="n"/>
      <c r="L479" s="30" t="n"/>
      <c r="M479" s="30" t="n"/>
      <c r="N479" s="30" t="n"/>
      <c r="O479" s="31">
        <f>IF(A479="", "", IFERROR(INDEX(Dashboard!$A$13:$A$35, MATCH(A479, Dashboard!$B$13:$B$35, 0)), ""))</f>
        <v/>
      </c>
    </row>
    <row r="480" ht="65" customHeight="1">
      <c r="A480" s="30" t="n"/>
      <c r="B480" s="30" t="n"/>
      <c r="C480" s="30" t="n"/>
      <c r="D480" s="30" t="n"/>
      <c r="E480" s="30" t="n"/>
      <c r="F480" s="30" t="n"/>
      <c r="G480" s="30" t="n"/>
      <c r="H480" s="30" t="n"/>
      <c r="I480" s="30" t="n"/>
      <c r="J480" s="30" t="n"/>
      <c r="K480" s="30" t="n"/>
      <c r="L480" s="30" t="n"/>
      <c r="M480" s="30" t="n"/>
      <c r="N480" s="30" t="n"/>
      <c r="O480" s="31">
        <f>IF(A480="", "", IFERROR(INDEX(Dashboard!$A$13:$A$35, MATCH(A480, Dashboard!$B$13:$B$35, 0)), ""))</f>
        <v/>
      </c>
    </row>
    <row r="481" ht="65" customHeight="1">
      <c r="A481" s="30" t="n"/>
      <c r="B481" s="30" t="n"/>
      <c r="C481" s="30" t="n"/>
      <c r="D481" s="30" t="n"/>
      <c r="E481" s="30" t="n"/>
      <c r="F481" s="30" t="n"/>
      <c r="G481" s="30" t="n"/>
      <c r="H481" s="30" t="n"/>
      <c r="I481" s="30" t="n"/>
      <c r="J481" s="30" t="n"/>
      <c r="K481" s="30" t="n"/>
      <c r="L481" s="30" t="n"/>
      <c r="M481" s="30" t="n"/>
      <c r="N481" s="30" t="n"/>
      <c r="O481" s="31">
        <f>IF(A481="", "", IFERROR(INDEX(Dashboard!$A$13:$A$35, MATCH(A481, Dashboard!$B$13:$B$35, 0)), ""))</f>
        <v/>
      </c>
    </row>
    <row r="482" ht="65" customHeight="1">
      <c r="A482" s="30" t="n"/>
      <c r="B482" s="30" t="n"/>
      <c r="C482" s="30" t="n"/>
      <c r="D482" s="30" t="n"/>
      <c r="E482" s="30" t="n"/>
      <c r="F482" s="30" t="n"/>
      <c r="G482" s="30" t="n"/>
      <c r="H482" s="30" t="n"/>
      <c r="I482" s="30" t="n"/>
      <c r="J482" s="30" t="n"/>
      <c r="K482" s="30" t="n"/>
      <c r="L482" s="30" t="n"/>
      <c r="M482" s="30" t="n"/>
      <c r="N482" s="30" t="n"/>
      <c r="O482" s="31">
        <f>IF(A482="", "", IFERROR(INDEX(Dashboard!$A$13:$A$35, MATCH(A482, Dashboard!$B$13:$B$35, 0)), ""))</f>
        <v/>
      </c>
    </row>
    <row r="483" ht="65" customHeight="1">
      <c r="A483" s="30" t="n"/>
      <c r="B483" s="30" t="n"/>
      <c r="C483" s="30" t="n"/>
      <c r="D483" s="30" t="n"/>
      <c r="E483" s="30" t="n"/>
      <c r="F483" s="30" t="n"/>
      <c r="G483" s="30" t="n"/>
      <c r="H483" s="30" t="n"/>
      <c r="I483" s="30" t="n"/>
      <c r="J483" s="30" t="n"/>
      <c r="K483" s="30" t="n"/>
      <c r="L483" s="30" t="n"/>
      <c r="M483" s="30" t="n"/>
      <c r="N483" s="30" t="n"/>
      <c r="O483" s="31">
        <f>IF(A483="", "", IFERROR(INDEX(Dashboard!$A$13:$A$35, MATCH(A483, Dashboard!$B$13:$B$35, 0)), ""))</f>
        <v/>
      </c>
    </row>
    <row r="484" ht="65" customHeight="1">
      <c r="A484" s="30" t="n"/>
      <c r="B484" s="30" t="n"/>
      <c r="C484" s="30" t="n"/>
      <c r="D484" s="30" t="n"/>
      <c r="E484" s="30" t="n"/>
      <c r="F484" s="30" t="n"/>
      <c r="G484" s="30" t="n"/>
      <c r="H484" s="30" t="n"/>
      <c r="I484" s="30" t="n"/>
      <c r="J484" s="30" t="n"/>
      <c r="K484" s="30" t="n"/>
      <c r="L484" s="30" t="n"/>
      <c r="M484" s="30" t="n"/>
      <c r="N484" s="30" t="n"/>
      <c r="O484" s="31">
        <f>IF(A484="", "", IFERROR(INDEX(Dashboard!$A$13:$A$35, MATCH(A484, Dashboard!$B$13:$B$35, 0)), ""))</f>
        <v/>
      </c>
    </row>
    <row r="485" ht="65" customHeight="1">
      <c r="A485" s="30" t="n"/>
      <c r="B485" s="30" t="n"/>
      <c r="C485" s="30" t="n"/>
      <c r="D485" s="30" t="n"/>
      <c r="E485" s="30" t="n"/>
      <c r="F485" s="30" t="n"/>
      <c r="G485" s="30" t="n"/>
      <c r="H485" s="30" t="n"/>
      <c r="I485" s="30" t="n"/>
      <c r="J485" s="30" t="n"/>
      <c r="K485" s="30" t="n"/>
      <c r="L485" s="30" t="n"/>
      <c r="M485" s="30" t="n"/>
      <c r="N485" s="30" t="n"/>
      <c r="O485" s="31">
        <f>IF(A485="", "", IFERROR(INDEX(Dashboard!$A$13:$A$35, MATCH(A485, Dashboard!$B$13:$B$35, 0)), ""))</f>
        <v/>
      </c>
    </row>
    <row r="486" ht="65" customHeight="1">
      <c r="A486" s="30" t="n"/>
      <c r="B486" s="30" t="n"/>
      <c r="C486" s="30" t="n"/>
      <c r="D486" s="30" t="n"/>
      <c r="E486" s="30" t="n"/>
      <c r="F486" s="30" t="n"/>
      <c r="G486" s="30" t="n"/>
      <c r="H486" s="30" t="n"/>
      <c r="I486" s="30" t="n"/>
      <c r="J486" s="30" t="n"/>
      <c r="K486" s="30" t="n"/>
      <c r="L486" s="30" t="n"/>
      <c r="M486" s="30" t="n"/>
      <c r="N486" s="30" t="n"/>
      <c r="O486" s="31">
        <f>IF(A486="", "", IFERROR(INDEX(Dashboard!$A$13:$A$35, MATCH(A486, Dashboard!$B$13:$B$35, 0)), ""))</f>
        <v/>
      </c>
    </row>
    <row r="487" ht="65" customHeight="1">
      <c r="A487" s="30" t="n"/>
      <c r="B487" s="30" t="n"/>
      <c r="C487" s="30" t="n"/>
      <c r="D487" s="30" t="n"/>
      <c r="E487" s="30" t="n"/>
      <c r="F487" s="30" t="n"/>
      <c r="G487" s="30" t="n"/>
      <c r="H487" s="30" t="n"/>
      <c r="I487" s="30" t="n"/>
      <c r="J487" s="30" t="n"/>
      <c r="K487" s="30" t="n"/>
      <c r="L487" s="30" t="n"/>
      <c r="M487" s="30" t="n"/>
      <c r="N487" s="30" t="n"/>
      <c r="O487" s="31">
        <f>IF(A487="", "", IFERROR(INDEX(Dashboard!$A$13:$A$35, MATCH(A487, Dashboard!$B$13:$B$35, 0)), ""))</f>
        <v/>
      </c>
    </row>
    <row r="488" ht="65" customHeight="1">
      <c r="A488" s="30" t="n"/>
      <c r="B488" s="30" t="n"/>
      <c r="C488" s="30" t="n"/>
      <c r="D488" s="30" t="n"/>
      <c r="E488" s="30" t="n"/>
      <c r="F488" s="30" t="n"/>
      <c r="G488" s="30" t="n"/>
      <c r="H488" s="30" t="n"/>
      <c r="I488" s="30" t="n"/>
      <c r="J488" s="30" t="n"/>
      <c r="K488" s="30" t="n"/>
      <c r="L488" s="30" t="n"/>
      <c r="M488" s="30" t="n"/>
      <c r="N488" s="30" t="n"/>
      <c r="O488" s="31">
        <f>IF(A488="", "", IFERROR(INDEX(Dashboard!$A$13:$A$35, MATCH(A488, Dashboard!$B$13:$B$35, 0)), ""))</f>
        <v/>
      </c>
    </row>
    <row r="489" ht="65" customHeight="1">
      <c r="A489" s="30" t="n"/>
      <c r="B489" s="30" t="n"/>
      <c r="C489" s="30" t="n"/>
      <c r="D489" s="30" t="n"/>
      <c r="E489" s="30" t="n"/>
      <c r="F489" s="30" t="n"/>
      <c r="G489" s="30" t="n"/>
      <c r="H489" s="30" t="n"/>
      <c r="I489" s="30" t="n"/>
      <c r="J489" s="30" t="n"/>
      <c r="K489" s="30" t="n"/>
      <c r="L489" s="30" t="n"/>
      <c r="M489" s="30" t="n"/>
      <c r="N489" s="30" t="n"/>
      <c r="O489" s="31">
        <f>IF(A489="", "", IFERROR(INDEX(Dashboard!$A$13:$A$35, MATCH(A489, Dashboard!$B$13:$B$35, 0)), ""))</f>
        <v/>
      </c>
    </row>
    <row r="490" ht="65" customHeight="1">
      <c r="A490" s="30" t="n"/>
      <c r="B490" s="30" t="n"/>
      <c r="C490" s="30" t="n"/>
      <c r="D490" s="30" t="n"/>
      <c r="E490" s="30" t="n"/>
      <c r="F490" s="30" t="n"/>
      <c r="G490" s="30" t="n"/>
      <c r="H490" s="30" t="n"/>
      <c r="I490" s="30" t="n"/>
      <c r="J490" s="30" t="n"/>
      <c r="K490" s="30" t="n"/>
      <c r="L490" s="30" t="n"/>
      <c r="M490" s="30" t="n"/>
      <c r="N490" s="30" t="n"/>
      <c r="O490" s="31">
        <f>IF(A490="", "", IFERROR(INDEX(Dashboard!$A$13:$A$35, MATCH(A490, Dashboard!$B$13:$B$35, 0)), ""))</f>
        <v/>
      </c>
    </row>
    <row r="491" ht="65" customHeight="1">
      <c r="A491" s="30" t="n"/>
      <c r="B491" s="30" t="n"/>
      <c r="C491" s="30" t="n"/>
      <c r="D491" s="30" t="n"/>
      <c r="E491" s="30" t="n"/>
      <c r="F491" s="30" t="n"/>
      <c r="G491" s="30" t="n"/>
      <c r="H491" s="30" t="n"/>
      <c r="I491" s="30" t="n"/>
      <c r="J491" s="30" t="n"/>
      <c r="K491" s="30" t="n"/>
      <c r="L491" s="30" t="n"/>
      <c r="M491" s="30" t="n"/>
      <c r="N491" s="30" t="n"/>
      <c r="O491" s="31">
        <f>IF(A491="", "", IFERROR(INDEX(Dashboard!$A$13:$A$35, MATCH(A491, Dashboard!$B$13:$B$35, 0)), ""))</f>
        <v/>
      </c>
    </row>
    <row r="492" ht="65" customHeight="1">
      <c r="A492" s="30" t="n"/>
      <c r="B492" s="30" t="n"/>
      <c r="C492" s="30" t="n"/>
      <c r="D492" s="30" t="n"/>
      <c r="E492" s="30" t="n"/>
      <c r="F492" s="30" t="n"/>
      <c r="G492" s="30" t="n"/>
      <c r="H492" s="30" t="n"/>
      <c r="I492" s="30" t="n"/>
      <c r="J492" s="30" t="n"/>
      <c r="K492" s="30" t="n"/>
      <c r="L492" s="30" t="n"/>
      <c r="M492" s="30" t="n"/>
      <c r="N492" s="30" t="n"/>
      <c r="O492" s="31">
        <f>IF(A492="", "", IFERROR(INDEX(Dashboard!$A$13:$A$35, MATCH(A492, Dashboard!$B$13:$B$35, 0)), ""))</f>
        <v/>
      </c>
    </row>
    <row r="493" ht="65" customHeight="1">
      <c r="A493" s="30" t="n"/>
      <c r="B493" s="30" t="n"/>
      <c r="C493" s="30" t="n"/>
      <c r="D493" s="30" t="n"/>
      <c r="E493" s="30" t="n"/>
      <c r="F493" s="30" t="n"/>
      <c r="G493" s="30" t="n"/>
      <c r="H493" s="30" t="n"/>
      <c r="I493" s="30" t="n"/>
      <c r="J493" s="30" t="n"/>
      <c r="K493" s="30" t="n"/>
      <c r="L493" s="30" t="n"/>
      <c r="M493" s="30" t="n"/>
      <c r="N493" s="30" t="n"/>
      <c r="O493" s="31">
        <f>IF(A493="", "", IFERROR(INDEX(Dashboard!$A$13:$A$35, MATCH(A493, Dashboard!$B$13:$B$35, 0)), ""))</f>
        <v/>
      </c>
    </row>
    <row r="494" ht="65" customHeight="1">
      <c r="A494" s="30" t="n"/>
      <c r="B494" s="30" t="n"/>
      <c r="C494" s="30" t="n"/>
      <c r="D494" s="30" t="n"/>
      <c r="E494" s="30" t="n"/>
      <c r="F494" s="30" t="n"/>
      <c r="G494" s="30" t="n"/>
      <c r="H494" s="30" t="n"/>
      <c r="I494" s="30" t="n"/>
      <c r="J494" s="30" t="n"/>
      <c r="K494" s="30" t="n"/>
      <c r="L494" s="30" t="n"/>
      <c r="M494" s="30" t="n"/>
      <c r="N494" s="30" t="n"/>
      <c r="O494" s="31">
        <f>IF(A494="", "", IFERROR(INDEX(Dashboard!$A$13:$A$35, MATCH(A494, Dashboard!$B$13:$B$35, 0)), ""))</f>
        <v/>
      </c>
    </row>
    <row r="495" ht="65" customHeight="1">
      <c r="A495" s="30" t="n"/>
      <c r="B495" s="30" t="n"/>
      <c r="C495" s="30" t="n"/>
      <c r="D495" s="30" t="n"/>
      <c r="E495" s="30" t="n"/>
      <c r="F495" s="30" t="n"/>
      <c r="G495" s="30" t="n"/>
      <c r="H495" s="30" t="n"/>
      <c r="I495" s="30" t="n"/>
      <c r="J495" s="30" t="n"/>
      <c r="K495" s="30" t="n"/>
      <c r="L495" s="30" t="n"/>
      <c r="M495" s="30" t="n"/>
      <c r="N495" s="30" t="n"/>
      <c r="O495" s="31">
        <f>IF(A495="", "", IFERROR(INDEX(Dashboard!$A$13:$A$35, MATCH(A495, Dashboard!$B$13:$B$35, 0)), ""))</f>
        <v/>
      </c>
    </row>
    <row r="496" ht="65" customHeight="1">
      <c r="A496" s="30" t="n"/>
      <c r="B496" s="30" t="n"/>
      <c r="C496" s="30" t="n"/>
      <c r="D496" s="30" t="n"/>
      <c r="E496" s="30" t="n"/>
      <c r="F496" s="30" t="n"/>
      <c r="G496" s="30" t="n"/>
      <c r="H496" s="30" t="n"/>
      <c r="I496" s="30" t="n"/>
      <c r="J496" s="30" t="n"/>
      <c r="K496" s="30" t="n"/>
      <c r="L496" s="30" t="n"/>
      <c r="M496" s="30" t="n"/>
      <c r="N496" s="30" t="n"/>
      <c r="O496" s="31">
        <f>IF(A496="", "", IFERROR(INDEX(Dashboard!$A$13:$A$35, MATCH(A496, Dashboard!$B$13:$B$35, 0)), ""))</f>
        <v/>
      </c>
    </row>
    <row r="497" ht="65" customHeight="1">
      <c r="A497" s="30" t="n"/>
      <c r="B497" s="30" t="n"/>
      <c r="C497" s="30" t="n"/>
      <c r="D497" s="30" t="n"/>
      <c r="E497" s="30" t="n"/>
      <c r="F497" s="30" t="n"/>
      <c r="G497" s="30" t="n"/>
      <c r="H497" s="30" t="n"/>
      <c r="I497" s="30" t="n"/>
      <c r="J497" s="30" t="n"/>
      <c r="K497" s="30" t="n"/>
      <c r="L497" s="30" t="n"/>
      <c r="M497" s="30" t="n"/>
      <c r="N497" s="30" t="n"/>
      <c r="O497" s="31">
        <f>IF(A497="", "", IFERROR(INDEX(Dashboard!$A$13:$A$35, MATCH(A497, Dashboard!$B$13:$B$35, 0)), ""))</f>
        <v/>
      </c>
    </row>
    <row r="498" ht="65" customHeight="1">
      <c r="A498" s="30" t="n"/>
      <c r="B498" s="30" t="n"/>
      <c r="C498" s="30" t="n"/>
      <c r="D498" s="30" t="n"/>
      <c r="E498" s="30" t="n"/>
      <c r="F498" s="30" t="n"/>
      <c r="G498" s="30" t="n"/>
      <c r="H498" s="30" t="n"/>
      <c r="I498" s="30" t="n"/>
      <c r="J498" s="30" t="n"/>
      <c r="K498" s="30" t="n"/>
      <c r="L498" s="30" t="n"/>
      <c r="M498" s="30" t="n"/>
      <c r="N498" s="30" t="n"/>
      <c r="O498" s="31">
        <f>IF(A498="", "", IFERROR(INDEX(Dashboard!$A$13:$A$35, MATCH(A498, Dashboard!$B$13:$B$35, 0)), ""))</f>
        <v/>
      </c>
    </row>
    <row r="499" ht="65" customHeight="1">
      <c r="A499" s="30" t="n"/>
      <c r="B499" s="30" t="n"/>
      <c r="C499" s="30" t="n"/>
      <c r="D499" s="30" t="n"/>
      <c r="E499" s="30" t="n"/>
      <c r="F499" s="30" t="n"/>
      <c r="G499" s="30" t="n"/>
      <c r="H499" s="30" t="n"/>
      <c r="I499" s="30" t="n"/>
      <c r="J499" s="30" t="n"/>
      <c r="K499" s="30" t="n"/>
      <c r="L499" s="30" t="n"/>
      <c r="M499" s="30" t="n"/>
      <c r="N499" s="30" t="n"/>
      <c r="O499" s="31">
        <f>IF(A499="", "", IFERROR(INDEX(Dashboard!$A$13:$A$35, MATCH(A499, Dashboard!$B$13:$B$35, 0)), ""))</f>
        <v/>
      </c>
    </row>
    <row r="500" ht="65" customHeight="1">
      <c r="A500" s="30" t="n"/>
      <c r="B500" s="30" t="n"/>
      <c r="C500" s="30" t="n"/>
      <c r="D500" s="30" t="n"/>
      <c r="E500" s="30" t="n"/>
      <c r="F500" s="30" t="n"/>
      <c r="G500" s="30" t="n"/>
      <c r="H500" s="30" t="n"/>
      <c r="I500" s="30" t="n"/>
      <c r="J500" s="30" t="n"/>
      <c r="K500" s="30" t="n"/>
      <c r="L500" s="30" t="n"/>
      <c r="M500" s="30" t="n"/>
      <c r="N500" s="30" t="n"/>
      <c r="O500" s="31">
        <f>IF(A500="", "", IFERROR(INDEX(Dashboard!$A$13:$A$35, MATCH(A500, Dashboard!$B$13:$B$35, 0)), ""))</f>
        <v/>
      </c>
    </row>
  </sheetData>
  <autoFilter ref="A1:N500"/>
  <dataValidations count="9">
    <dataValidation sqref="B2:B500" showDropDown="0" showInputMessage="0" showErrorMessage="0" allowBlank="0" type="list">
      <formula1>'Config'!$A$2:$A$3</formula1>
    </dataValidation>
    <dataValidation sqref="F2:F500" showDropDown="0" showInputMessage="0" showErrorMessage="0" allowBlank="0" type="list">
      <formula1>'Config'!$C$2:$C$9</formula1>
    </dataValidation>
    <dataValidation sqref="G2:G500" showDropDown="0" showInputMessage="0" showErrorMessage="0" allowBlank="0" type="list">
      <formula1>'Config'!$I$2:$I$106</formula1>
    </dataValidation>
    <dataValidation sqref="H2:H500" showDropDown="0" showInputMessage="0" showErrorMessage="0" allowBlank="0" type="list">
      <formula1>'Config'!$AH$2:$AH$19</formula1>
    </dataValidation>
    <dataValidation sqref="I2:I500" showDropDown="0" showInputMessage="0" showErrorMessage="0" allowBlank="0" type="list">
      <formula1>'Config'!$D$2:$D$39</formula1>
    </dataValidation>
    <dataValidation sqref="J2:J500" showDropDown="0" showInputMessage="0" showErrorMessage="0" allowBlank="0" type="list">
      <formula1>'Config'!$E$2:$E$41</formula1>
    </dataValidation>
    <dataValidation sqref="K2:K500" showDropDown="0" showInputMessage="0" showErrorMessage="0" allowBlank="0" type="list">
      <formula1>'Config'!$F$2:$F$33</formula1>
    </dataValidation>
    <dataValidation sqref="M2:M500" showDropDown="0" showInputMessage="0" showErrorMessage="0" allowBlank="0" type="list">
      <formula1>'Config'!$G$2:$G$5</formula1>
    </dataValidation>
    <dataValidation sqref="C2:C500 D2:D500" showDropDown="0" showInputMessage="0" showErrorMessage="0" allowBlank="0" type="list">
      <formula1>"A,B,C,D"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06"/>
  <sheetViews>
    <sheetView showGridLines="1" workbookViewId="0">
      <selection activeCell="A1" sqref="A1"/>
    </sheetView>
  </sheetViews>
  <sheetFormatPr baseColWidth="8" defaultRowHeight="15"/>
  <sheetData>
    <row r="1">
      <c r="A1" s="32" t="inlineStr">
        <is>
          <t>Section</t>
        </is>
      </c>
      <c r="B1" s="32" t="inlineStr">
        <is>
          <t>Difficulty</t>
        </is>
      </c>
      <c r="C1" s="32" t="inlineStr">
        <is>
          <t>Topic</t>
        </is>
      </c>
      <c r="D1" s="32" t="inlineStr">
        <is>
          <t>Error Type</t>
        </is>
      </c>
      <c r="E1" s="32" t="inlineStr">
        <is>
          <t>Root Cause</t>
        </is>
      </c>
      <c r="F1" s="32" t="inlineStr">
        <is>
          <t>Fix Strategy</t>
        </is>
      </c>
      <c r="G1" s="32" t="inlineStr">
        <is>
          <t>Retest Status</t>
        </is>
      </c>
      <c r="H1" s="32" t="inlineStr">
        <is>
          <t>Action Status</t>
        </is>
      </c>
      <c r="I1" s="32" t="inlineStr">
        <is>
          <t>Subtopic</t>
        </is>
      </c>
      <c r="J1" t="inlineStr">
        <is>
          <t>Error Type</t>
        </is>
      </c>
      <c r="K1" t="inlineStr">
        <is>
          <t>Count</t>
        </is>
      </c>
      <c r="L1" t="inlineStr">
        <is>
          <t>Helper</t>
        </is>
      </c>
      <c r="N1" t="inlineStr">
        <is>
          <t>Root Cause</t>
        </is>
      </c>
      <c r="O1" t="inlineStr">
        <is>
          <t>Count</t>
        </is>
      </c>
      <c r="P1" t="inlineStr">
        <is>
          <t>Helper</t>
        </is>
      </c>
      <c r="R1" t="inlineStr">
        <is>
          <t>Topic</t>
        </is>
      </c>
      <c r="S1" t="inlineStr">
        <is>
          <t>Count</t>
        </is>
      </c>
      <c r="T1" t="inlineStr">
        <is>
          <t>Helper</t>
        </is>
      </c>
      <c r="V1" t="inlineStr">
        <is>
          <t>Week Ending</t>
        </is>
      </c>
      <c r="W1" t="inlineStr">
        <is>
          <t>Knowledge Gap</t>
        </is>
      </c>
      <c r="X1" t="inlineStr">
        <is>
          <t>Misread Q</t>
        </is>
      </c>
      <c r="Y1" t="inlineStr">
        <is>
          <t>Process Error</t>
        </is>
      </c>
      <c r="Z1" t="inlineStr">
        <is>
          <t>Careless Error</t>
        </is>
      </c>
      <c r="AA1" t="inlineStr">
        <is>
          <t>Time Pressure</t>
        </is>
      </c>
      <c r="AB1" t="inlineStr">
        <is>
          <t>Total Errors</t>
        </is>
      </c>
      <c r="AD1" t="inlineStr">
        <is>
          <t>Month</t>
        </is>
      </c>
      <c r="AE1" t="inlineStr">
        <is>
          <t>Total Errors</t>
        </is>
      </c>
      <c r="AF1" t="inlineStr">
        <is>
          <t>Math Errors</t>
        </is>
      </c>
      <c r="AG1" t="inlineStr">
        <is>
          <t>Reading Errors</t>
        </is>
      </c>
      <c r="AH1" s="32" t="inlineStr">
        <is>
          <t>Question Type</t>
        </is>
      </c>
    </row>
    <row r="2">
      <c r="A2" s="33" t="inlineStr">
        <is>
          <t>Math</t>
        </is>
      </c>
      <c r="B2" s="33" t="inlineStr">
        <is>
          <t>Easy</t>
        </is>
      </c>
      <c r="C2" s="33" t="inlineStr">
        <is>
          <t>Algebra</t>
        </is>
      </c>
      <c r="D2" s="33" t="inlineStr">
        <is>
          <t>Knowledge Gap (Concept Untrained)</t>
        </is>
      </c>
      <c r="E2" s="33" t="inlineStr">
        <is>
          <t>Concept was never learned or studied</t>
        </is>
      </c>
      <c r="F2" s="33" t="inlineStr">
        <is>
          <t>Study/Review the core mathematical concept from scratch</t>
        </is>
      </c>
      <c r="G2" s="33" t="inlineStr">
        <is>
          <t>Not Reviewed</t>
        </is>
      </c>
      <c r="H2" s="33" t="inlineStr">
        <is>
          <t>Not Started</t>
        </is>
      </c>
      <c r="I2" s="33" t="inlineStr">
        <is>
          <t>Linear Equations (1 Variable)</t>
        </is>
      </c>
      <c r="J2" t="inlineStr">
        <is>
          <t>Knowledge Gap (Concept Untrained)</t>
        </is>
      </c>
      <c r="K2">
        <f>COUNTIFS('Error Log'!$I$2:$I$500, J2)</f>
        <v/>
      </c>
      <c r="L2">
        <f>K2-ROW()/100000</f>
        <v/>
      </c>
      <c r="N2" t="inlineStr">
        <is>
          <t>Concept was never learned or studied</t>
        </is>
      </c>
      <c r="O2">
        <f>COUNTIFS('Error Log'!$J$2:$J$500, N2)</f>
        <v/>
      </c>
      <c r="P2">
        <f>O2-ROW()/100000</f>
        <v/>
      </c>
      <c r="R2" t="inlineStr">
        <is>
          <t>Algebra</t>
        </is>
      </c>
      <c r="S2">
        <f>COUNTIFS('Error Log'!$F$2:$F$500, R2)</f>
        <v/>
      </c>
      <c r="T2">
        <f>S2-ROW()/100000</f>
        <v/>
      </c>
      <c r="V2" s="31" t="n">
        <v>46149</v>
      </c>
      <c r="W2">
        <f>COUNTIFS('Error Log'!$O$2:$O$500, "&gt;="&amp;(V2-6), 'Error Log'!$O$2:$O$500, "&lt;="&amp;V2, 'Error Log'!$I$2:$I$500, "Knowledge Gap*")</f>
        <v/>
      </c>
      <c r="X2">
        <f>COUNTIFS('Error Log'!$O$2:$O$500, "&gt;="&amp;(V2-6), 'Error Log'!$O$2:$O$500, "&lt;="&amp;V2, 'Error Log'!$I$2:$I$500, "Misread*")</f>
        <v/>
      </c>
      <c r="Y2">
        <f>COUNTIFS('Error Log'!$O$2:$O$500, "&gt;="&amp;(V2-6), 'Error Log'!$O$2:$O$500, "&lt;="&amp;V2, 'Error Log'!$I$2:$I$500, "Process*")</f>
        <v/>
      </c>
      <c r="Z2">
        <f>COUNTIFS('Error Log'!$O$2:$O$500, "&gt;="&amp;(V2-6), 'Error Log'!$O$2:$O$500, "&lt;="&amp;V2, 'Error Log'!$I$2:$I$500, "Careless*")</f>
        <v/>
      </c>
      <c r="AA2">
        <f>COUNTIFS('Error Log'!$O$2:$O$500, "&gt;="&amp;(V2-6), 'Error Log'!$O$2:$O$500, "&lt;="&amp;V2, 'Error Log'!$I$2:$I$500, "Time*")</f>
        <v/>
      </c>
      <c r="AB2">
        <f>SUM(W2:AA2)</f>
        <v/>
      </c>
      <c r="AD2" t="inlineStr">
        <is>
          <t>May 2026</t>
        </is>
      </c>
      <c r="AE2">
        <f>COUNTIFS('Error Log'!$O$2:$O$500, "&gt;="&amp;DATE(2026,5,1), 'Error Log'!$O$2:$O$500, "&lt;="&amp;DATE(2026,5,31))</f>
        <v/>
      </c>
      <c r="AF2">
        <f>COUNTIFS('Error Log'!$O$2:$O$500, "&gt;="&amp;DATE(2026,5,1), 'Error Log'!$O$2:$O$500, "&lt;="&amp;DATE(2026,5,31), 'Error Log'!$B$2:$B$500, "Math")</f>
        <v/>
      </c>
      <c r="AG2">
        <f>COUNTIFS('Error Log'!$O$2:$O$500, "&gt;="&amp;DATE(2026,5,1), 'Error Log'!$O$2:$O$500, "&lt;="&amp;DATE(2026,5,31), 'Error Log'!$B$2:$B$500, "Reading &amp; Writing")</f>
        <v/>
      </c>
      <c r="AH2" s="33" t="inlineStr">
        <is>
          <t>Math MCQ (Algebra)</t>
        </is>
      </c>
    </row>
    <row r="3">
      <c r="A3" s="33" t="inlineStr">
        <is>
          <t>Reading &amp; Writing</t>
        </is>
      </c>
      <c r="B3" s="33" t="inlineStr">
        <is>
          <t>Medium</t>
        </is>
      </c>
      <c r="C3" s="33" t="inlineStr">
        <is>
          <t>Advanced Math</t>
        </is>
      </c>
      <c r="D3" s="33" t="inlineStr">
        <is>
          <t>Knowledge Gap (Forgotten Details)</t>
        </is>
      </c>
      <c r="E3" s="33" t="inlineStr">
        <is>
          <t>Concept was studied but not practiced enough</t>
        </is>
      </c>
      <c r="F3" s="33" t="inlineStr">
        <is>
          <t>Memorize formula/rule (create physical or digital flashcard)</t>
        </is>
      </c>
      <c r="G3" s="33" t="inlineStr">
        <is>
          <t>Flagged for Retest</t>
        </is>
      </c>
      <c r="H3" s="33" t="inlineStr">
        <is>
          <t>In Progress</t>
        </is>
      </c>
      <c r="I3" s="33" t="inlineStr">
        <is>
          <t>Linear Equations (2 Variables)</t>
        </is>
      </c>
      <c r="J3" t="inlineStr">
        <is>
          <t>Knowledge Gap (Forgotten Details)</t>
        </is>
      </c>
      <c r="K3">
        <f>COUNTIFS('Error Log'!$I$2:$I$500, J3)</f>
        <v/>
      </c>
      <c r="L3">
        <f>K3-ROW()/100000</f>
        <v/>
      </c>
      <c r="N3" t="inlineStr">
        <is>
          <t>Concept was studied but not practiced enough</t>
        </is>
      </c>
      <c r="O3">
        <f>COUNTIFS('Error Log'!$J$2:$J$500, N3)</f>
        <v/>
      </c>
      <c r="P3">
        <f>O3-ROW()/100000</f>
        <v/>
      </c>
      <c r="R3" t="inlineStr">
        <is>
          <t>Advanced Math</t>
        </is>
      </c>
      <c r="S3">
        <f>COUNTIFS('Error Log'!$F$2:$F$500, R3)</f>
        <v/>
      </c>
      <c r="T3">
        <f>S3-ROW()/100000</f>
        <v/>
      </c>
      <c r="V3" s="31" t="n">
        <v>46156</v>
      </c>
      <c r="W3">
        <f>COUNTIFS('Error Log'!$O$2:$O$500, "&gt;="&amp;(V3-6), 'Error Log'!$O$2:$O$500, "&lt;="&amp;V3, 'Error Log'!$I$2:$I$500, "Knowledge Gap*")</f>
        <v/>
      </c>
      <c r="X3">
        <f>COUNTIFS('Error Log'!$O$2:$O$500, "&gt;="&amp;(V3-6), 'Error Log'!$O$2:$O$500, "&lt;="&amp;V3, 'Error Log'!$I$2:$I$500, "Misread*")</f>
        <v/>
      </c>
      <c r="Y3">
        <f>COUNTIFS('Error Log'!$O$2:$O$500, "&gt;="&amp;(V3-6), 'Error Log'!$O$2:$O$500, "&lt;="&amp;V3, 'Error Log'!$I$2:$I$500, "Process*")</f>
        <v/>
      </c>
      <c r="Z3">
        <f>COUNTIFS('Error Log'!$O$2:$O$500, "&gt;="&amp;(V3-6), 'Error Log'!$O$2:$O$500, "&lt;="&amp;V3, 'Error Log'!$I$2:$I$500, "Careless*")</f>
        <v/>
      </c>
      <c r="AA3">
        <f>COUNTIFS('Error Log'!$O$2:$O$500, "&gt;="&amp;(V3-6), 'Error Log'!$O$2:$O$500, "&lt;="&amp;V3, 'Error Log'!$I$2:$I$500, "Time*")</f>
        <v/>
      </c>
      <c r="AB3">
        <f>SUM(W3:AA3)</f>
        <v/>
      </c>
      <c r="AD3" t="inlineStr">
        <is>
          <t>June 2026</t>
        </is>
      </c>
      <c r="AE3">
        <f>COUNTIFS('Error Log'!$O$2:$O$500, "&gt;="&amp;DATE(2026,6,1), 'Error Log'!$O$2:$O$500, "&lt;="&amp;DATE(2026,6,30))</f>
        <v/>
      </c>
      <c r="AF3">
        <f>COUNTIFS('Error Log'!$O$2:$O$500, "&gt;="&amp;DATE(2026,6,1), 'Error Log'!$O$2:$O$500, "&lt;="&amp;DATE(2026,6,30), 'Error Log'!$B$2:$B$500, "Math")</f>
        <v/>
      </c>
      <c r="AG3">
        <f>COUNTIFS('Error Log'!$O$2:$O$500, "&gt;="&amp;DATE(2026,6,1), 'Error Log'!$O$2:$O$500, "&lt;="&amp;DATE(2026,6,30), 'Error Log'!$B$2:$B$500, "Reading &amp; Writing")</f>
        <v/>
      </c>
      <c r="AH3" s="33" t="inlineStr">
        <is>
          <t>Math SPR (Algebra)</t>
        </is>
      </c>
    </row>
    <row r="4">
      <c r="B4" s="33" t="inlineStr">
        <is>
          <t>Hard</t>
        </is>
      </c>
      <c r="C4" s="33" t="inlineStr">
        <is>
          <t>Problem Solving &amp; Data Analysis</t>
        </is>
      </c>
      <c r="D4" s="33" t="inlineStr">
        <is>
          <t>Formula Misrecall / Incorrect Usage</t>
        </is>
      </c>
      <c r="E4" s="33" t="inlineStr">
        <is>
          <t>Forgot specific math formula or identity</t>
        </is>
      </c>
      <c r="F4" s="33" t="inlineStr">
        <is>
          <t>Review standard English grammar and punctuation rules</t>
        </is>
      </c>
      <c r="G4" s="33" t="inlineStr">
        <is>
          <t>Retest Failed</t>
        </is>
      </c>
      <c r="H4" s="33" t="inlineStr">
        <is>
          <t>Completed</t>
        </is>
      </c>
      <c r="I4" s="33" t="inlineStr">
        <is>
          <t>Linear Functions &amp; Graphs</t>
        </is>
      </c>
      <c r="J4" t="inlineStr">
        <is>
          <t>Formula Misrecall / Incorrect Usage</t>
        </is>
      </c>
      <c r="K4">
        <f>COUNTIFS('Error Log'!$I$2:$I$500, J4)</f>
        <v/>
      </c>
      <c r="L4">
        <f>K4-ROW()/100000</f>
        <v/>
      </c>
      <c r="N4" t="inlineStr">
        <is>
          <t>Forgot specific math formula or identity</t>
        </is>
      </c>
      <c r="O4">
        <f>COUNTIFS('Error Log'!$J$2:$J$500, N4)</f>
        <v/>
      </c>
      <c r="P4">
        <f>O4-ROW()/100000</f>
        <v/>
      </c>
      <c r="R4" t="inlineStr">
        <is>
          <t>Problem Solving &amp; Data Analysis</t>
        </is>
      </c>
      <c r="S4">
        <f>COUNTIFS('Error Log'!$F$2:$F$500, R4)</f>
        <v/>
      </c>
      <c r="T4">
        <f>S4-ROW()/100000</f>
        <v/>
      </c>
      <c r="V4" s="31" t="n">
        <v>46163</v>
      </c>
      <c r="W4">
        <f>COUNTIFS('Error Log'!$O$2:$O$500, "&gt;="&amp;(V4-6), 'Error Log'!$O$2:$O$500, "&lt;="&amp;V4, 'Error Log'!$I$2:$I$500, "Knowledge Gap*")</f>
        <v/>
      </c>
      <c r="X4">
        <f>COUNTIFS('Error Log'!$O$2:$O$500, "&gt;="&amp;(V4-6), 'Error Log'!$O$2:$O$500, "&lt;="&amp;V4, 'Error Log'!$I$2:$I$500, "Misread*")</f>
        <v/>
      </c>
      <c r="Y4">
        <f>COUNTIFS('Error Log'!$O$2:$O$500, "&gt;="&amp;(V4-6), 'Error Log'!$O$2:$O$500, "&lt;="&amp;V4, 'Error Log'!$I$2:$I$500, "Process*")</f>
        <v/>
      </c>
      <c r="Z4">
        <f>COUNTIFS('Error Log'!$O$2:$O$500, "&gt;="&amp;(V4-6), 'Error Log'!$O$2:$O$500, "&lt;="&amp;V4, 'Error Log'!$I$2:$I$500, "Careless*")</f>
        <v/>
      </c>
      <c r="AA4">
        <f>COUNTIFS('Error Log'!$O$2:$O$500, "&gt;="&amp;(V4-6), 'Error Log'!$O$2:$O$500, "&lt;="&amp;V4, 'Error Log'!$I$2:$I$500, "Time*")</f>
        <v/>
      </c>
      <c r="AB4">
        <f>SUM(W4:AA4)</f>
        <v/>
      </c>
      <c r="AH4" s="33" t="inlineStr">
        <is>
          <t>Math MCQ (Advanced Math)</t>
        </is>
      </c>
    </row>
    <row r="5">
      <c r="C5" s="33" t="inlineStr">
        <is>
          <t>Geometry &amp; Trigonometry</t>
        </is>
      </c>
      <c r="D5" s="33" t="inlineStr">
        <is>
          <t>Grammar Rule Misrecall / Confusion</t>
        </is>
      </c>
      <c r="E5" s="33" t="inlineStr">
        <is>
          <t>Forgot specific grammar/punctuation rule</t>
        </is>
      </c>
      <c r="F5" s="33" t="inlineStr">
        <is>
          <t>Add word and definition to personal SAT vocabulary log</t>
        </is>
      </c>
      <c r="G5" s="33" t="inlineStr">
        <is>
          <t>Retest Passed (Mastered)</t>
        </is>
      </c>
      <c r="I5" s="33" t="inlineStr">
        <is>
          <t>Systems of Linear Equations (No/Infinite Solutions)</t>
        </is>
      </c>
      <c r="J5" t="inlineStr">
        <is>
          <t>Grammar Rule Misrecall / Confusion</t>
        </is>
      </c>
      <c r="K5">
        <f>COUNTIFS('Error Log'!$I$2:$I$500, J5)</f>
        <v/>
      </c>
      <c r="L5">
        <f>K5-ROW()/100000</f>
        <v/>
      </c>
      <c r="N5" t="inlineStr">
        <is>
          <t>Forgot specific grammar/punctuation rule</t>
        </is>
      </c>
      <c r="O5">
        <f>COUNTIFS('Error Log'!$J$2:$J$500, N5)</f>
        <v/>
      </c>
      <c r="P5">
        <f>O5-ROW()/100000</f>
        <v/>
      </c>
      <c r="R5" t="inlineStr">
        <is>
          <t>Geometry &amp; Trigonometry</t>
        </is>
      </c>
      <c r="S5">
        <f>COUNTIFS('Error Log'!$F$2:$F$500, R5)</f>
        <v/>
      </c>
      <c r="T5">
        <f>S5-ROW()/100000</f>
        <v/>
      </c>
      <c r="V5" s="31" t="n">
        <v>46170</v>
      </c>
      <c r="W5">
        <f>COUNTIFS('Error Log'!$O$2:$O$500, "&gt;="&amp;(V5-6), 'Error Log'!$O$2:$O$500, "&lt;="&amp;V5, 'Error Log'!$I$2:$I$500, "Knowledge Gap*")</f>
        <v/>
      </c>
      <c r="X5">
        <f>COUNTIFS('Error Log'!$O$2:$O$500, "&gt;="&amp;(V5-6), 'Error Log'!$O$2:$O$500, "&lt;="&amp;V5, 'Error Log'!$I$2:$I$500, "Misread*")</f>
        <v/>
      </c>
      <c r="Y5">
        <f>COUNTIFS('Error Log'!$O$2:$O$500, "&gt;="&amp;(V5-6), 'Error Log'!$O$2:$O$500, "&lt;="&amp;V5, 'Error Log'!$I$2:$I$500, "Process*")</f>
        <v/>
      </c>
      <c r="Z5">
        <f>COUNTIFS('Error Log'!$O$2:$O$500, "&gt;="&amp;(V5-6), 'Error Log'!$O$2:$O$500, "&lt;="&amp;V5, 'Error Log'!$I$2:$I$500, "Careless*")</f>
        <v/>
      </c>
      <c r="AA5">
        <f>COUNTIFS('Error Log'!$O$2:$O$500, "&gt;="&amp;(V5-6), 'Error Log'!$O$2:$O$500, "&lt;="&amp;V5, 'Error Log'!$I$2:$I$500, "Time*")</f>
        <v/>
      </c>
      <c r="AB5">
        <f>SUM(W5:AA5)</f>
        <v/>
      </c>
      <c r="AH5" s="33" t="inlineStr">
        <is>
          <t>Math SPR (Advanced Math)</t>
        </is>
      </c>
    </row>
    <row r="6">
      <c r="C6" s="33" t="inlineStr">
        <is>
          <t>Information &amp; Ideas</t>
        </is>
      </c>
      <c r="D6" s="33" t="inlineStr">
        <is>
          <t>Desmos Over-Reliance (Inefficient Method)</t>
        </is>
      </c>
      <c r="E6" s="33" t="inlineStr">
        <is>
          <t>Misread keyword in question (e.g., 'not', 'except', 'must')</t>
        </is>
      </c>
      <c r="F6" s="33" t="inlineStr">
        <is>
          <t>Complete 20+ practice questions on this specific subtopic</t>
        </is>
      </c>
      <c r="I6" s="33" t="inlineStr">
        <is>
          <t>Systems of Linear Equations (Solving)</t>
        </is>
      </c>
      <c r="J6" t="inlineStr">
        <is>
          <t>Desmos Over-Reliance (Inefficient Method)</t>
        </is>
      </c>
      <c r="K6">
        <f>COUNTIFS('Error Log'!$I$2:$I$500, J6)</f>
        <v/>
      </c>
      <c r="L6">
        <f>K6-ROW()/100000</f>
        <v/>
      </c>
      <c r="N6" t="inlineStr">
        <is>
          <t>Misread keyword in question (e.g., 'not', 'except', 'must')</t>
        </is>
      </c>
      <c r="O6">
        <f>COUNTIFS('Error Log'!$J$2:$J$500, N6)</f>
        <v/>
      </c>
      <c r="P6">
        <f>O6-ROW()/100000</f>
        <v/>
      </c>
      <c r="R6" t="inlineStr">
        <is>
          <t>Information &amp; Ideas</t>
        </is>
      </c>
      <c r="S6">
        <f>COUNTIFS('Error Log'!$F$2:$F$500, R6)</f>
        <v/>
      </c>
      <c r="T6">
        <f>S6-ROW()/100000</f>
        <v/>
      </c>
      <c r="V6" s="31" t="n">
        <v>46177</v>
      </c>
      <c r="W6">
        <f>COUNTIFS('Error Log'!$O$2:$O$500, "&gt;="&amp;(V6-6), 'Error Log'!$O$2:$O$500, "&lt;="&amp;V6, 'Error Log'!$I$2:$I$500, "Knowledge Gap*")</f>
        <v/>
      </c>
      <c r="X6">
        <f>COUNTIFS('Error Log'!$O$2:$O$500, "&gt;="&amp;(V6-6), 'Error Log'!$O$2:$O$500, "&lt;="&amp;V6, 'Error Log'!$I$2:$I$500, "Misread*")</f>
        <v/>
      </c>
      <c r="Y6">
        <f>COUNTIFS('Error Log'!$O$2:$O$500, "&gt;="&amp;(V6-6), 'Error Log'!$O$2:$O$500, "&lt;="&amp;V6, 'Error Log'!$I$2:$I$500, "Process*")</f>
        <v/>
      </c>
      <c r="Z6">
        <f>COUNTIFS('Error Log'!$O$2:$O$500, "&gt;="&amp;(V6-6), 'Error Log'!$O$2:$O$500, "&lt;="&amp;V6, 'Error Log'!$I$2:$I$500, "Careless*")</f>
        <v/>
      </c>
      <c r="AA6">
        <f>COUNTIFS('Error Log'!$O$2:$O$500, "&gt;="&amp;(V6-6), 'Error Log'!$O$2:$O$500, "&lt;="&amp;V6, 'Error Log'!$I$2:$I$500, "Time*")</f>
        <v/>
      </c>
      <c r="AB6">
        <f>SUM(W6:AA6)</f>
        <v/>
      </c>
      <c r="AH6" s="33" t="inlineStr">
        <is>
          <t>Math MCQ (Problem Solving &amp; Data Analysis)</t>
        </is>
      </c>
    </row>
    <row r="7">
      <c r="C7" s="33" t="inlineStr">
        <is>
          <t>Craft &amp; Structure</t>
        </is>
      </c>
      <c r="D7" s="33" t="inlineStr">
        <is>
          <t>Desmos Input Error (Syntax / Typo)</t>
        </is>
      </c>
      <c r="E7" s="33" t="inlineStr">
        <is>
          <t>Ignored constraint (e.g., 'x &gt; 0', 'integer', 'positive')</t>
        </is>
      </c>
      <c r="F7" s="33" t="inlineStr">
        <is>
          <t>Do a timed drill (10-15 questions) for this domain</t>
        </is>
      </c>
      <c r="I7" s="33" t="inlineStr">
        <is>
          <t>Linear Inequalities (1 Variable)</t>
        </is>
      </c>
      <c r="J7" t="inlineStr">
        <is>
          <t>Desmos Input Error (Syntax / Typo)</t>
        </is>
      </c>
      <c r="K7">
        <f>COUNTIFS('Error Log'!$I$2:$I$500, J7)</f>
        <v/>
      </c>
      <c r="L7">
        <f>K7-ROW()/100000</f>
        <v/>
      </c>
      <c r="N7" t="inlineStr">
        <is>
          <t>Ignored constraint (e.g., 'x &gt; 0', 'integer', 'positive')</t>
        </is>
      </c>
      <c r="O7">
        <f>COUNTIFS('Error Log'!$J$2:$J$500, N7)</f>
        <v/>
      </c>
      <c r="P7">
        <f>O7-ROW()/100000</f>
        <v/>
      </c>
      <c r="R7" t="inlineStr">
        <is>
          <t>Craft &amp; Structure</t>
        </is>
      </c>
      <c r="S7">
        <f>COUNTIFS('Error Log'!$F$2:$F$500, R7)</f>
        <v/>
      </c>
      <c r="T7">
        <f>S7-ROW()/100000</f>
        <v/>
      </c>
      <c r="V7" s="31" t="n">
        <v>46184</v>
      </c>
      <c r="W7">
        <f>COUNTIFS('Error Log'!$O$2:$O$500, "&gt;="&amp;(V7-6), 'Error Log'!$O$2:$O$500, "&lt;="&amp;V7, 'Error Log'!$I$2:$I$500, "Knowledge Gap*")</f>
        <v/>
      </c>
      <c r="X7">
        <f>COUNTIFS('Error Log'!$O$2:$O$500, "&gt;="&amp;(V7-6), 'Error Log'!$O$2:$O$500, "&lt;="&amp;V7, 'Error Log'!$I$2:$I$500, "Misread*")</f>
        <v/>
      </c>
      <c r="Y7">
        <f>COUNTIFS('Error Log'!$O$2:$O$500, "&gt;="&amp;(V7-6), 'Error Log'!$O$2:$O$500, "&lt;="&amp;V7, 'Error Log'!$I$2:$I$500, "Process*")</f>
        <v/>
      </c>
      <c r="Z7">
        <f>COUNTIFS('Error Log'!$O$2:$O$500, "&gt;="&amp;(V7-6), 'Error Log'!$O$2:$O$500, "&lt;="&amp;V7, 'Error Log'!$I$2:$I$500, "Careless*")</f>
        <v/>
      </c>
      <c r="AA7">
        <f>COUNTIFS('Error Log'!$O$2:$O$500, "&gt;="&amp;(V7-6), 'Error Log'!$O$2:$O$500, "&lt;="&amp;V7, 'Error Log'!$I$2:$I$500, "Time*")</f>
        <v/>
      </c>
      <c r="AB7">
        <f>SUM(W7:AA7)</f>
        <v/>
      </c>
      <c r="AH7" s="33" t="inlineStr">
        <is>
          <t>Math SPR (Problem Solving &amp; Data Analysis)</t>
        </is>
      </c>
    </row>
    <row r="8">
      <c r="C8" s="33" t="inlineStr">
        <is>
          <t>Expression of Ideas</t>
        </is>
      </c>
      <c r="D8" s="33" t="inlineStr">
        <is>
          <t>Desmos Window / Scale Misinterpretation</t>
        </is>
      </c>
      <c r="E8" s="33" t="inlineStr">
        <is>
          <t>Solved for x but question asked for another expression (e.g., y, 2x, x+3)</t>
        </is>
      </c>
      <c r="F8" s="33" t="inlineStr">
        <is>
          <t>Do an untimed drill to focus on step-by-step accuracy</t>
        </is>
      </c>
      <c r="I8" s="33" t="inlineStr">
        <is>
          <t>Linear Inequalities (2 Variables &amp; Systems)</t>
        </is>
      </c>
      <c r="J8" t="inlineStr">
        <is>
          <t>Desmos Window / Scale Misinterpretation</t>
        </is>
      </c>
      <c r="K8">
        <f>COUNTIFS('Error Log'!$I$2:$I$500, J8)</f>
        <v/>
      </c>
      <c r="L8">
        <f>K8-ROW()/100000</f>
        <v/>
      </c>
      <c r="N8" t="inlineStr">
        <is>
          <t>Solved for x but question asked for another expression (e.g., y, 2x, x+3)</t>
        </is>
      </c>
      <c r="O8">
        <f>COUNTIFS('Error Log'!$J$2:$J$500, N8)</f>
        <v/>
      </c>
      <c r="P8">
        <f>O8-ROW()/100000</f>
        <v/>
      </c>
      <c r="R8" t="inlineStr">
        <is>
          <t>Expression of Ideas</t>
        </is>
      </c>
      <c r="S8">
        <f>COUNTIFS('Error Log'!$F$2:$F$500, R8)</f>
        <v/>
      </c>
      <c r="T8">
        <f>S8-ROW()/100000</f>
        <v/>
      </c>
      <c r="V8" s="31" t="n">
        <v>46191</v>
      </c>
      <c r="W8">
        <f>COUNTIFS('Error Log'!$O$2:$O$500, "&gt;="&amp;(V8-6), 'Error Log'!$O$2:$O$500, "&lt;="&amp;V8, 'Error Log'!$I$2:$I$500, "Knowledge Gap*")</f>
        <v/>
      </c>
      <c r="X8">
        <f>COUNTIFS('Error Log'!$O$2:$O$500, "&gt;="&amp;(V8-6), 'Error Log'!$O$2:$O$500, "&lt;="&amp;V8, 'Error Log'!$I$2:$I$500, "Misread*")</f>
        <v/>
      </c>
      <c r="Y8">
        <f>COUNTIFS('Error Log'!$O$2:$O$500, "&gt;="&amp;(V8-6), 'Error Log'!$O$2:$O$500, "&lt;="&amp;V8, 'Error Log'!$I$2:$I$500, "Process*")</f>
        <v/>
      </c>
      <c r="Z8">
        <f>COUNTIFS('Error Log'!$O$2:$O$500, "&gt;="&amp;(V8-6), 'Error Log'!$O$2:$O$500, "&lt;="&amp;V8, 'Error Log'!$I$2:$I$500, "Careless*")</f>
        <v/>
      </c>
      <c r="AA8">
        <f>COUNTIFS('Error Log'!$O$2:$O$500, "&gt;="&amp;(V8-6), 'Error Log'!$O$2:$O$500, "&lt;="&amp;V8, 'Error Log'!$I$2:$I$500, "Time*")</f>
        <v/>
      </c>
      <c r="AB8">
        <f>SUM(W8:AA8)</f>
        <v/>
      </c>
      <c r="AH8" s="33" t="inlineStr">
        <is>
          <t>Math MCQ (Geometry &amp; Trigonometry)</t>
        </is>
      </c>
    </row>
    <row r="9">
      <c r="C9" s="33" t="inlineStr">
        <is>
          <t>Standard English Conventions</t>
        </is>
      </c>
      <c r="D9" s="33" t="inlineStr">
        <is>
          <t>Desmos Mode Error (Radians vs. Degrees)</t>
        </is>
      </c>
      <c r="E9" s="33" t="inlineStr">
        <is>
          <t>Basic arithmetic slip (addition, subtraction, multiplication, division)</t>
        </is>
      </c>
      <c r="F9" s="33" t="inlineStr">
        <is>
          <t>Practice solving this algebraic problem type without Desmos</t>
        </is>
      </c>
      <c r="I9" s="33" t="inlineStr">
        <is>
          <t>Linear Equations (Word Problems)</t>
        </is>
      </c>
      <c r="J9" t="inlineStr">
        <is>
          <t>Desmos Mode Error (Radians vs. Degrees)</t>
        </is>
      </c>
      <c r="K9">
        <f>COUNTIFS('Error Log'!$I$2:$I$500, J9)</f>
        <v/>
      </c>
      <c r="L9">
        <f>K9-ROW()/100000</f>
        <v/>
      </c>
      <c r="N9" t="inlineStr">
        <is>
          <t>Basic arithmetic slip (addition, subtraction, multiplication, division)</t>
        </is>
      </c>
      <c r="O9">
        <f>COUNTIFS('Error Log'!$J$2:$J$500, N9)</f>
        <v/>
      </c>
      <c r="P9">
        <f>O9-ROW()/100000</f>
        <v/>
      </c>
      <c r="R9" t="inlineStr">
        <is>
          <t>Standard English Conventions</t>
        </is>
      </c>
      <c r="S9">
        <f>COUNTIFS('Error Log'!$F$2:$F$500, R9)</f>
        <v/>
      </c>
      <c r="T9">
        <f>S9-ROW()/100000</f>
        <v/>
      </c>
      <c r="AH9" s="33" t="inlineStr">
        <is>
          <t>Math SPR (Geometry &amp; Trigonometry)</t>
        </is>
      </c>
    </row>
    <row r="10">
      <c r="D10" s="33" t="inlineStr">
        <is>
          <t>Careless Arithmetic (Simple Addition/Subtraction)</t>
        </is>
      </c>
      <c r="E10" s="33" t="inlineStr">
        <is>
          <t>Positive/negative sign flip during algebraic step</t>
        </is>
      </c>
      <c r="F10" s="33" t="inlineStr">
        <is>
          <t>Practice Desmos shortcuts (regression, graphing intersections, systems)</t>
        </is>
      </c>
      <c r="I10" s="33" t="inlineStr">
        <is>
          <t>Linear Functions (Slope &amp; Intercept Interpretations)</t>
        </is>
      </c>
      <c r="J10" t="inlineStr">
        <is>
          <t>Careless Arithmetic (Simple Addition/Subtraction)</t>
        </is>
      </c>
      <c r="K10">
        <f>COUNTIFS('Error Log'!$I$2:$I$500, J10)</f>
        <v/>
      </c>
      <c r="L10">
        <f>K10-ROW()/100000</f>
        <v/>
      </c>
      <c r="N10" t="inlineStr">
        <is>
          <t>Positive/negative sign flip during algebraic step</t>
        </is>
      </c>
      <c r="O10">
        <f>COUNTIFS('Error Log'!$J$2:$J$500, N10)</f>
        <v/>
      </c>
      <c r="P10">
        <f>O10-ROW()/100000</f>
        <v/>
      </c>
      <c r="AH10" s="33" t="inlineStr">
        <is>
          <t>Reading MCQ (Central Ideas &amp; Details)</t>
        </is>
      </c>
    </row>
    <row r="11">
      <c r="D11" s="33" t="inlineStr">
        <is>
          <t>Careless Arithmetic (Sign Error +/-)</t>
        </is>
      </c>
      <c r="E11" s="33" t="inlineStr">
        <is>
          <t>Fraction or decimal calculation/conversion error</t>
        </is>
      </c>
      <c r="F11" s="33" t="inlineStr">
        <is>
          <t>Verify Desmos settings (Radian/Degree mode) before starting</t>
        </is>
      </c>
      <c r="I11" s="33" t="inlineStr">
        <is>
          <t>Systems of Linear Equations (Word Problems)</t>
        </is>
      </c>
      <c r="J11" t="inlineStr">
        <is>
          <t>Careless Arithmetic (Sign Error +/-)</t>
        </is>
      </c>
      <c r="K11">
        <f>COUNTIFS('Error Log'!$I$2:$I$500, J11)</f>
        <v/>
      </c>
      <c r="L11">
        <f>K11-ROW()/100000</f>
        <v/>
      </c>
      <c r="N11" t="inlineStr">
        <is>
          <t>Fraction or decimal calculation/conversion error</t>
        </is>
      </c>
      <c r="O11">
        <f>COUNTIFS('Error Log'!$J$2:$J$500, N11)</f>
        <v/>
      </c>
      <c r="P11">
        <f>O11-ROW()/100000</f>
        <v/>
      </c>
      <c r="AH11" s="33" t="inlineStr">
        <is>
          <t>Reading MCQ (Command of Evidence - Textual)</t>
        </is>
      </c>
    </row>
    <row r="12">
      <c r="D12" s="33" t="inlineStr">
        <is>
          <t>Careless Arithmetic (Multiplication/Division)</t>
        </is>
      </c>
      <c r="E12" s="33" t="inlineStr">
        <is>
          <t>Exponent or radical simplification rule applied incorrectly</t>
        </is>
      </c>
      <c r="F12" s="33" t="inlineStr">
        <is>
          <t>Practice grid-zoom calibration in Desmos for graphs</t>
        </is>
      </c>
      <c r="I12" s="33" t="inlineStr">
        <is>
          <t>Graphing Linear Inequalities (Shaded Regions)</t>
        </is>
      </c>
      <c r="J12" t="inlineStr">
        <is>
          <t>Careless Arithmetic (Multiplication/Division)</t>
        </is>
      </c>
      <c r="K12">
        <f>COUNTIFS('Error Log'!$I$2:$I$500, J12)</f>
        <v/>
      </c>
      <c r="L12">
        <f>K12-ROW()/100000</f>
        <v/>
      </c>
      <c r="N12" t="inlineStr">
        <is>
          <t>Exponent or radical simplification rule applied incorrectly</t>
        </is>
      </c>
      <c r="O12">
        <f>COUNTIFS('Error Log'!$J$2:$J$500, N12)</f>
        <v/>
      </c>
      <c r="P12">
        <f>O12-ROW()/100000</f>
        <v/>
      </c>
      <c r="AH12" s="33" t="inlineStr">
        <is>
          <t>Reading MCQ (Command of Evidence - Quantitative)</t>
        </is>
      </c>
    </row>
    <row r="13">
      <c r="D13" s="33" t="inlineStr">
        <is>
          <t>Algebraic Manipulation Slip (Distribution/Signs)</t>
        </is>
      </c>
      <c r="E13" s="33" t="inlineStr">
        <is>
          <t>Incorrect factoring or distribution of algebraic terms</t>
        </is>
      </c>
      <c r="F13" s="33" t="inlineStr">
        <is>
          <t>Practice writing clear, organized scratchpad steps</t>
        </is>
      </c>
      <c r="I13" s="33" t="inlineStr">
        <is>
          <t>Absolute Value Equations (Linear)</t>
        </is>
      </c>
      <c r="J13" t="inlineStr">
        <is>
          <t>Algebraic Manipulation Slip (Distribution/Signs)</t>
        </is>
      </c>
      <c r="K13">
        <f>COUNTIFS('Error Log'!$I$2:$I$500, J13)</f>
        <v/>
      </c>
      <c r="L13">
        <f>K13-ROW()/100000</f>
        <v/>
      </c>
      <c r="N13" t="inlineStr">
        <is>
          <t>Incorrect factoring or distribution of algebraic terms</t>
        </is>
      </c>
      <c r="O13">
        <f>COUNTIFS('Error Log'!$J$2:$J$500, N13)</f>
        <v/>
      </c>
      <c r="P13">
        <f>O13-ROW()/100000</f>
        <v/>
      </c>
      <c r="AH13" s="33" t="inlineStr">
        <is>
          <t>Reading MCQ (Inferences)</t>
        </is>
      </c>
    </row>
    <row r="14">
      <c r="D14" s="33" t="inlineStr">
        <is>
          <t>Exponent / Power Rule Error</t>
        </is>
      </c>
      <c r="E14" s="33" t="inlineStr">
        <is>
          <t>Desmos typo: entered numbers or variables incorrectly</t>
        </is>
      </c>
      <c r="F14" s="33" t="inlineStr">
        <is>
          <t>Implement 'Read the Question Twice' rule for word problems</t>
        </is>
      </c>
      <c r="I14" s="33" t="inlineStr">
        <is>
          <t>Absolute Value Inequalities (Linear)</t>
        </is>
      </c>
      <c r="J14" t="inlineStr">
        <is>
          <t>Exponent / Power Rule Error</t>
        </is>
      </c>
      <c r="K14">
        <f>COUNTIFS('Error Log'!$I$2:$I$500, J14)</f>
        <v/>
      </c>
      <c r="L14">
        <f>K14-ROW()/100000</f>
        <v/>
      </c>
      <c r="N14" t="inlineStr">
        <is>
          <t>Desmos typo: entered numbers or variables incorrectly</t>
        </is>
      </c>
      <c r="O14">
        <f>COUNTIFS('Error Log'!$J$2:$J$500, N14)</f>
        <v/>
      </c>
      <c r="P14">
        <f>O14-ROW()/100000</f>
        <v/>
      </c>
      <c r="AH14" s="33" t="inlineStr">
        <is>
          <t>Reading MCQ (Words in Context)</t>
        </is>
      </c>
    </row>
    <row r="15">
      <c r="D15" s="33" t="inlineStr">
        <is>
          <t>Misread Question Constraint (e.g. integer vs constant)</t>
        </is>
      </c>
      <c r="E15" s="33" t="inlineStr">
        <is>
          <t>Desmos setting: calculator was in wrong angle mode (Radian/Degree)</t>
        </is>
      </c>
      <c r="F15" s="33" t="inlineStr">
        <is>
          <t>Underline/circle the final variable or expression being asked for</t>
        </is>
      </c>
      <c r="I15" s="33" t="inlineStr">
        <is>
          <t>Quadratic Equations (Solving by Factoring/Formula)</t>
        </is>
      </c>
      <c r="J15" t="inlineStr">
        <is>
          <t>Misread Question Constraint (e.g. integer vs constant)</t>
        </is>
      </c>
      <c r="K15">
        <f>COUNTIFS('Error Log'!$I$2:$I$500, J15)</f>
        <v/>
      </c>
      <c r="L15">
        <f>K15-ROW()/100000</f>
        <v/>
      </c>
      <c r="N15" t="inlineStr">
        <is>
          <t>Desmos setting: calculator was in wrong angle mode (Radian/Degree)</t>
        </is>
      </c>
      <c r="O15">
        <f>COUNTIFS('Error Log'!$J$2:$J$500, N15)</f>
        <v/>
      </c>
      <c r="P15">
        <f>O15-ROW()/100000</f>
        <v/>
      </c>
      <c r="AH15" s="33" t="inlineStr">
        <is>
          <t>Reading MCQ (Text Structure &amp; Purpose)</t>
        </is>
      </c>
    </row>
    <row r="16">
      <c r="D16" s="33" t="inlineStr">
        <is>
          <t>Solved for Wrong Variable (e.g. x instead of 2x)</t>
        </is>
      </c>
      <c r="E16" s="33" t="inlineStr">
        <is>
          <t>Desmos window: did not zoom out far enough to see intersections</t>
        </is>
      </c>
      <c r="F16" s="33" t="inlineStr">
        <is>
          <t>Write down all constraints explicitly before solving</t>
        </is>
      </c>
      <c r="I16" s="33" t="inlineStr">
        <is>
          <t>Quadratic Functions &amp; Parabolas (Vertex &amp; Axis)</t>
        </is>
      </c>
      <c r="J16" t="inlineStr">
        <is>
          <t>Solved for Wrong Variable (e.g. x instead of 2x)</t>
        </is>
      </c>
      <c r="K16">
        <f>COUNTIFS('Error Log'!$I$2:$I$500, J16)</f>
        <v/>
      </c>
      <c r="L16">
        <f>K16-ROW()/100000</f>
        <v/>
      </c>
      <c r="N16" t="inlineStr">
        <is>
          <t>Desmos window: did not zoom out far enough to see intersections</t>
        </is>
      </c>
      <c r="O16">
        <f>COUNTIFS('Error Log'!$J$2:$J$500, N16)</f>
        <v/>
      </c>
      <c r="P16">
        <f>O16-ROW()/100000</f>
        <v/>
      </c>
      <c r="AH16" s="33" t="inlineStr">
        <is>
          <t>Reading MCQ (Cross-Text Connections)</t>
        </is>
      </c>
    </row>
    <row r="17">
      <c r="D17" s="33" t="inlineStr">
        <is>
          <t>Misread Units (e.g. hours vs. minutes)</t>
        </is>
      </c>
      <c r="E17" s="33" t="inlineStr">
        <is>
          <t>Desmos reading: clicked wrong point or misread coordinate value</t>
        </is>
      </c>
      <c r="F17" s="33" t="inlineStr">
        <is>
          <t>Practice the Process of Elimination: write down why wrong choices are wrong</t>
        </is>
      </c>
      <c r="I17" s="33" t="inlineStr">
        <is>
          <t>Exponential Growth &amp; Decay (Word Problems)</t>
        </is>
      </c>
      <c r="J17" t="inlineStr">
        <is>
          <t>Misread Units (e.g. hours vs. minutes)</t>
        </is>
      </c>
      <c r="K17">
        <f>COUNTIFS('Error Log'!$I$2:$I$500, J17)</f>
        <v/>
      </c>
      <c r="L17">
        <f>K17-ROW()/100000</f>
        <v/>
      </c>
      <c r="N17" t="inlineStr">
        <is>
          <t>Desmos reading: clicked wrong point or misread coordinate value</t>
        </is>
      </c>
      <c r="O17">
        <f>COUNTIFS('Error Log'!$J$2:$J$500, N17)</f>
        <v/>
      </c>
      <c r="P17">
        <f>O17-ROW()/100000</f>
        <v/>
      </c>
      <c r="AH17" s="33" t="inlineStr">
        <is>
          <t>Writing MCQ (Transitions)</t>
        </is>
      </c>
    </row>
    <row r="18">
      <c r="D18" s="33" t="inlineStr">
        <is>
          <t>Misread Scale / Axis Labels</t>
        </is>
      </c>
      <c r="E18" s="33" t="inlineStr">
        <is>
          <t>Did not write down intermediate steps (tried to do it all mentally)</t>
        </is>
      </c>
      <c r="F18" s="33" t="inlineStr">
        <is>
          <t>Read passages with focus on main idea/tone, ignoring minor details</t>
        </is>
      </c>
      <c r="I18" s="33" t="inlineStr">
        <is>
          <t>Exponential Graphs &amp; Percent Rates</t>
        </is>
      </c>
      <c r="J18" t="inlineStr">
        <is>
          <t>Misread Scale / Axis Labels</t>
        </is>
      </c>
      <c r="K18">
        <f>COUNTIFS('Error Log'!$I$2:$I$500, J18)</f>
        <v/>
      </c>
      <c r="L18">
        <f>K18-ROW()/100000</f>
        <v/>
      </c>
      <c r="N18" t="inlineStr">
        <is>
          <t>Did not write down intermediate steps (tried to do it all mentally)</t>
        </is>
      </c>
      <c r="O18">
        <f>COUNTIFS('Error Log'!$J$2:$J$500, N18)</f>
        <v/>
      </c>
      <c r="P18">
        <f>O18-ROW()/100000</f>
        <v/>
      </c>
      <c r="AH18" s="33" t="inlineStr">
        <is>
          <t>Writing MCQ (Rhetorical Synthesis)</t>
        </is>
      </c>
    </row>
    <row r="19">
      <c r="D19" s="33" t="inlineStr">
        <is>
          <t>Trap Answer distractor choice</t>
        </is>
      </c>
      <c r="E19" s="33" t="inlineStr">
        <is>
          <t>Scratchpad work was too messy to follow, causing copy error</t>
        </is>
      </c>
      <c r="F19" s="33" t="inlineStr">
        <is>
          <t>Annotate the passage briefly to track arguments</t>
        </is>
      </c>
      <c r="I19" s="33" t="inlineStr">
        <is>
          <t>Polynomials &amp; Factoring (Remainder Theorem)</t>
        </is>
      </c>
      <c r="J19" t="inlineStr">
        <is>
          <t>Trap Answer distractor choice</t>
        </is>
      </c>
      <c r="K19">
        <f>COUNTIFS('Error Log'!$I$2:$I$500, J19)</f>
        <v/>
      </c>
      <c r="L19">
        <f>K19-ROW()/100000</f>
        <v/>
      </c>
      <c r="N19" t="inlineStr">
        <is>
          <t>Scratchpad work was too messy to follow, causing copy error</t>
        </is>
      </c>
      <c r="O19">
        <f>COUNTIFS('Error Log'!$J$2:$J$500, N19)</f>
        <v/>
      </c>
      <c r="P19">
        <f>O19-ROW()/100000</f>
        <v/>
      </c>
      <c r="AH19" s="33" t="inlineStr">
        <is>
          <t>Writing MCQ (Standard English Conventions)</t>
        </is>
      </c>
    </row>
    <row r="20">
      <c r="D20" s="33" t="inlineStr">
        <is>
          <t>Second-Guessing (Changed correct to incorrect)</t>
        </is>
      </c>
      <c r="E20" s="33" t="inlineStr">
        <is>
          <t>Fell for a common SAT distractor answer trap</t>
        </is>
      </c>
      <c r="F20" s="33" t="inlineStr">
        <is>
          <t>Read all four answer choices fully before selecting one</t>
        </is>
      </c>
      <c r="I20" s="33" t="inlineStr">
        <is>
          <t>Radical &amp; Rational Equations</t>
        </is>
      </c>
      <c r="J20" t="inlineStr">
        <is>
          <t>Second-Guessing (Changed correct to incorrect)</t>
        </is>
      </c>
      <c r="K20">
        <f>COUNTIFS('Error Log'!$I$2:$I$500, J20)</f>
        <v/>
      </c>
      <c r="L20">
        <f>K20-ROW()/100000</f>
        <v/>
      </c>
      <c r="N20" t="inlineStr">
        <is>
          <t>Fell for a common SAT distractor answer trap</t>
        </is>
      </c>
      <c r="O20">
        <f>COUNTIFS('Error Log'!$J$2:$J$500, N20)</f>
        <v/>
      </c>
      <c r="P20">
        <f>O20-ROW()/100000</f>
        <v/>
      </c>
    </row>
    <row r="21">
      <c r="D21" s="33" t="inlineStr">
        <is>
          <t>Overthinking (Read too deep into passage)</t>
        </is>
      </c>
      <c r="E21" s="33" t="inlineStr">
        <is>
          <t>Eliminated the correct answer choice too early</t>
        </is>
      </c>
      <c r="F21" s="33" t="inlineStr">
        <is>
          <t>Set a strict 90-second limit per question (flag and skip if exceeded)</t>
        </is>
      </c>
      <c r="I21" s="33" t="inlineStr">
        <is>
          <t>Systems of Non-Linear Equations</t>
        </is>
      </c>
      <c r="J21" t="inlineStr">
        <is>
          <t>Overthinking (Read too deep into passage)</t>
        </is>
      </c>
      <c r="K21">
        <f>COUNTIFS('Error Log'!$I$2:$I$500, J21)</f>
        <v/>
      </c>
      <c r="L21">
        <f>K21-ROW()/100000</f>
        <v/>
      </c>
      <c r="N21" t="inlineStr">
        <is>
          <t>Eliminated the correct answer choice too early</t>
        </is>
      </c>
      <c r="O21">
        <f>COUNTIFS('Error Log'!$J$2:$J$500, N21)</f>
        <v/>
      </c>
      <c r="P21">
        <f>O21-ROW()/100000</f>
        <v/>
      </c>
    </row>
    <row r="22">
      <c r="D22" s="33" t="inlineStr">
        <is>
          <t>Underthinking (Skimmed too quickly / Rushed)</t>
        </is>
      </c>
      <c r="E22" s="33" t="inlineStr">
        <is>
          <t>Overthought the passage (imported external assumptions)</t>
        </is>
      </c>
      <c r="F22" s="33" t="inlineStr">
        <is>
          <t>Retake this exact question in 7 days (spaced repetition)</t>
        </is>
      </c>
      <c r="I22" s="33" t="inlineStr">
        <is>
          <t>Function Notation &amp; Transformations</t>
        </is>
      </c>
      <c r="J22" t="inlineStr">
        <is>
          <t>Underthinking (Skimmed too quickly / Rushed)</t>
        </is>
      </c>
      <c r="K22">
        <f>COUNTIFS('Error Log'!$I$2:$I$500, J22)</f>
        <v/>
      </c>
      <c r="L22">
        <f>K22-ROW()/100000</f>
        <v/>
      </c>
      <c r="N22" t="inlineStr">
        <is>
          <t>Overthought the passage (imported external assumptions)</t>
        </is>
      </c>
      <c r="O22">
        <f>COUNTIFS('Error Log'!$J$2:$J$500, N22)</f>
        <v/>
      </c>
      <c r="P22">
        <f>O22-ROW()/100000</f>
        <v/>
      </c>
    </row>
    <row r="23">
      <c r="D23" s="33" t="inlineStr">
        <is>
          <t>Pacing: spent too long on one question</t>
        </is>
      </c>
      <c r="E23" s="33" t="inlineStr">
        <is>
          <t>Under-read the passage (missed transition word or tone shift)</t>
        </is>
      </c>
      <c r="F23" s="33" t="inlineStr">
        <is>
          <t>Retake this exact question in 14 days</t>
        </is>
      </c>
      <c r="I23" s="33" t="inlineStr">
        <is>
          <t>Quadratic Equations (Discriminant &amp; Number of Solutions)</t>
        </is>
      </c>
      <c r="J23" t="inlineStr">
        <is>
          <t>Pacing: spent too long on one question</t>
        </is>
      </c>
      <c r="K23">
        <f>COUNTIFS('Error Log'!$I$2:$I$500, J23)</f>
        <v/>
      </c>
      <c r="L23">
        <f>K23-ROW()/100000</f>
        <v/>
      </c>
      <c r="N23" t="inlineStr">
        <is>
          <t>Under-read the passage (missed transition word or tone shift)</t>
        </is>
      </c>
      <c r="O23">
        <f>COUNTIFS('Error Log'!$J$2:$J$500, N23)</f>
        <v/>
      </c>
      <c r="P23">
        <f>O23-ROW()/100000</f>
        <v/>
      </c>
    </row>
    <row r="24">
      <c r="D24" s="33" t="inlineStr">
        <is>
          <t>Time Pressure: rushed choice at the end</t>
        </is>
      </c>
      <c r="E24" s="33" t="inlineStr">
        <is>
          <t>Confused the perspective of Author 1 vs Author 2</t>
        </is>
      </c>
      <c r="F24" s="33" t="inlineStr">
        <is>
          <t>Explain the solution out loud to verify understanding (Feynman Technique)</t>
        </is>
      </c>
      <c r="I24" s="33" t="inlineStr">
        <is>
          <t>Quadratic Functions (Vertex Form vs Standard Form vs Factored Form)</t>
        </is>
      </c>
      <c r="J24" t="inlineStr">
        <is>
          <t>Time Pressure: rushed choice at the end</t>
        </is>
      </c>
      <c r="K24">
        <f>COUNTIFS('Error Log'!$I$2:$I$500, J24)</f>
        <v/>
      </c>
      <c r="L24">
        <f>K24-ROW()/100000</f>
        <v/>
      </c>
      <c r="N24" t="inlineStr">
        <is>
          <t>Confused the perspective of Author 1 vs Author 2</t>
        </is>
      </c>
      <c r="O24">
        <f>COUNTIFS('Error Log'!$J$2:$J$500, N24)</f>
        <v/>
      </c>
      <c r="P24">
        <f>O24-ROW()/100000</f>
        <v/>
      </c>
    </row>
    <row r="25">
      <c r="D25" s="33" t="inlineStr">
        <is>
          <t>Educated Guess (Eliminated 2 options)</t>
        </is>
      </c>
      <c r="E25" s="33" t="inlineStr">
        <is>
          <t>Misread numerical values or labels in data table/graph</t>
        </is>
      </c>
      <c r="F25" s="33" t="inlineStr">
        <is>
          <t>Backsolve by plugging in answer choices</t>
        </is>
      </c>
      <c r="I25" s="33" t="inlineStr">
        <is>
          <t>Exponents &amp; Radicals (Rules of Exponents)</t>
        </is>
      </c>
      <c r="J25" t="inlineStr">
        <is>
          <t>Educated Guess (Eliminated 2 options)</t>
        </is>
      </c>
      <c r="K25">
        <f>COUNTIFS('Error Log'!$I$2:$I$500, J25)</f>
        <v/>
      </c>
      <c r="L25">
        <f>K25-ROW()/100000</f>
        <v/>
      </c>
      <c r="N25" t="inlineStr">
        <is>
          <t>Misread numerical values or labels in data table/graph</t>
        </is>
      </c>
      <c r="O25">
        <f>COUNTIFS('Error Log'!$J$2:$J$500, N25)</f>
        <v/>
      </c>
      <c r="P25">
        <f>O25-ROW()/100000</f>
        <v/>
      </c>
    </row>
    <row r="26">
      <c r="D26" s="33" t="inlineStr">
        <is>
          <t>Blind Guessing</t>
        </is>
      </c>
      <c r="E26" s="33" t="inlineStr">
        <is>
          <t>Misidentified the specific goal of the rhetorical synthesis bullets</t>
        </is>
      </c>
      <c r="F26" s="33" t="inlineStr">
        <is>
          <t>Test algebraic equivalence by plugging in simple numbers (0, 1, -1)</t>
        </is>
      </c>
      <c r="I26" s="33" t="inlineStr">
        <is>
          <t>Dividing Polynomials (Synthetic/Long Division)</t>
        </is>
      </c>
      <c r="J26" t="inlineStr">
        <is>
          <t>Blind Guessing</t>
        </is>
      </c>
      <c r="K26">
        <f>COUNTIFS('Error Log'!$I$2:$I$500, J26)</f>
        <v/>
      </c>
      <c r="L26">
        <f>K26-ROW()/100000</f>
        <v/>
      </c>
      <c r="N26" t="inlineStr">
        <is>
          <t>Misidentified the specific goal of the rhetorical synthesis bullets</t>
        </is>
      </c>
      <c r="O26">
        <f>COUNTIFS('Error Log'!$J$2:$J$500, N26)</f>
        <v/>
      </c>
      <c r="P26">
        <f>O26-ROW()/100000</f>
        <v/>
      </c>
    </row>
    <row r="27">
      <c r="D27" s="33" t="inlineStr">
        <is>
          <t>Reading: Text Evidence Misinterpretation</t>
        </is>
      </c>
      <c r="E27" s="33" t="inlineStr">
        <is>
          <t>Confused logical transitions (e.g., 'however' vs 'furthermore')</t>
        </is>
      </c>
      <c r="F27" s="33" t="inlineStr">
        <is>
          <t>Double-check units and scale conversions (e.g. minutes to hours)</t>
        </is>
      </c>
      <c r="I27" s="33" t="inlineStr">
        <is>
          <t>Rational Functions &amp; Asymptotes</t>
        </is>
      </c>
      <c r="J27" t="inlineStr">
        <is>
          <t>Reading: Text Evidence Misinterpretation</t>
        </is>
      </c>
      <c r="K27">
        <f>COUNTIFS('Error Log'!$I$2:$I$500, J27)</f>
        <v/>
      </c>
      <c r="L27">
        <f>K27-ROW()/100000</f>
        <v/>
      </c>
      <c r="N27" t="inlineStr">
        <is>
          <t>Confused logical transitions (e.g., 'however' vs 'furthermore')</t>
        </is>
      </c>
      <c r="O27">
        <f>COUNTIFS('Error Log'!$J$2:$J$500, N27)</f>
        <v/>
      </c>
      <c r="P27">
        <f>O27-ROW()/100000</f>
        <v/>
      </c>
    </row>
    <row r="28">
      <c r="D28" s="33" t="inlineStr">
        <is>
          <t>Reading: Data Table / Graph Misread</t>
        </is>
      </c>
      <c r="E28" s="33" t="inlineStr">
        <is>
          <t>Misidentified subject or verb in complex sentence structure</t>
        </is>
      </c>
      <c r="F28" s="33" t="inlineStr">
        <is>
          <t>Review common trap answer patterns in prep book / online resources</t>
        </is>
      </c>
      <c r="I28" s="33" t="inlineStr">
        <is>
          <t>Composite Functions (f(g(x)))</t>
        </is>
      </c>
      <c r="J28" t="inlineStr">
        <is>
          <t>Reading: Data Table / Graph Misread</t>
        </is>
      </c>
      <c r="K28">
        <f>COUNTIFS('Error Log'!$I$2:$I$500, J28)</f>
        <v/>
      </c>
      <c r="L28">
        <f>K28-ROW()/100000</f>
        <v/>
      </c>
      <c r="N28" t="inlineStr">
        <is>
          <t>Misidentified subject or verb in complex sentence structure</t>
        </is>
      </c>
      <c r="O28">
        <f>COUNTIFS('Error Log'!$J$2:$J$500, N28)</f>
        <v/>
      </c>
      <c r="P28">
        <f>O28-ROW()/100000</f>
        <v/>
      </c>
    </row>
    <row r="29">
      <c r="D29" s="33" t="inlineStr">
        <is>
          <t>Reading: Vocabulary definition misunderstanding</t>
        </is>
      </c>
      <c r="E29" s="33" t="inlineStr">
        <is>
          <t>Ambiguous pronoun reference or incorrect pronoun case</t>
        </is>
      </c>
      <c r="F29" s="33" t="inlineStr">
        <is>
          <t>Take a 30-second breathing break between modules to reset focus</t>
        </is>
      </c>
      <c r="I29" s="33" t="inlineStr">
        <is>
          <t>Absolute Value Functions (Non-Linear)</t>
        </is>
      </c>
      <c r="J29" t="inlineStr">
        <is>
          <t>Reading: Vocabulary definition misunderstanding</t>
        </is>
      </c>
      <c r="K29">
        <f>COUNTIFS('Error Log'!$I$2:$I$500, J29)</f>
        <v/>
      </c>
      <c r="L29">
        <f>K29-ROW()/100000</f>
        <v/>
      </c>
      <c r="N29" t="inlineStr">
        <is>
          <t>Ambiguous pronoun reference or incorrect pronoun case</t>
        </is>
      </c>
      <c r="O29">
        <f>COUNTIFS('Error Log'!$J$2:$J$500, N29)</f>
        <v/>
      </c>
      <c r="P29">
        <f>O29-ROW()/100000</f>
        <v/>
      </c>
    </row>
    <row r="30">
      <c r="D30" s="33" t="inlineStr">
        <is>
          <t>Reading: Main idea vs Supporting detail confusion</t>
        </is>
      </c>
      <c r="E30" s="33" t="inlineStr">
        <is>
          <t>Misplaced apostrophe for singular vs plural possessives</t>
        </is>
      </c>
      <c r="F30" s="33" t="inlineStr">
        <is>
          <t>Do a full-length practice section to build mental endurance</t>
        </is>
      </c>
      <c r="I30" s="33" t="inlineStr">
        <is>
          <t>Graphing Nonlinear Functions (Intercepts &amp; End Behavior)</t>
        </is>
      </c>
      <c r="J30" t="inlineStr">
        <is>
          <t>Reading: Main idea vs Supporting detail confusion</t>
        </is>
      </c>
      <c r="K30">
        <f>COUNTIFS('Error Log'!$I$2:$I$500, J30)</f>
        <v/>
      </c>
      <c r="L30">
        <f>K30-ROW()/100000</f>
        <v/>
      </c>
      <c r="N30" t="inlineStr">
        <is>
          <t>Misplaced apostrophe for singular vs plural possessives</t>
        </is>
      </c>
      <c r="O30">
        <f>COUNTIFS('Error Log'!$J$2:$J$500, N30)</f>
        <v/>
      </c>
      <c r="P30">
        <f>O30-ROW()/100000</f>
        <v/>
      </c>
    </row>
    <row r="31">
      <c r="D31" s="33" t="inlineStr">
        <is>
          <t>Reading: Cross-text perspective misattribution</t>
        </is>
      </c>
      <c r="E31" s="33" t="inlineStr">
        <is>
          <t>Dangling modifier describing the wrong noun</t>
        </is>
      </c>
      <c r="F31" s="33" t="inlineStr">
        <is>
          <t>Compare my solution step-by-step with the official explanation</t>
        </is>
      </c>
      <c r="I31" s="33" t="inlineStr">
        <is>
          <t>Ratios, Rates, &amp; Proportions</t>
        </is>
      </c>
      <c r="J31" t="inlineStr">
        <is>
          <t>Reading: Cross-text perspective misattribution</t>
        </is>
      </c>
      <c r="K31">
        <f>COUNTIFS('Error Log'!$I$2:$I$500, J31)</f>
        <v/>
      </c>
      <c r="L31">
        <f>K31-ROW()/100000</f>
        <v/>
      </c>
      <c r="N31" t="inlineStr">
        <is>
          <t>Dangling modifier describing the wrong noun</t>
        </is>
      </c>
      <c r="O31">
        <f>COUNTIFS('Error Log'!$J$2:$J$500, N31)</f>
        <v/>
      </c>
      <c r="P31">
        <f>O31-ROW()/100000</f>
        <v/>
      </c>
    </row>
    <row r="32">
      <c r="D32" s="33" t="inlineStr">
        <is>
          <t>Reading: Tone / Attitude misinterpretation</t>
        </is>
      </c>
      <c r="E32" s="33" t="inlineStr">
        <is>
          <t>Lack of parallel structure in list or comparison</t>
        </is>
      </c>
      <c r="F32" s="33" t="inlineStr">
        <is>
          <t>Analyze why the trap answer was tempting and how to spot it next time</t>
        </is>
      </c>
      <c r="I32" s="33" t="inlineStr">
        <is>
          <t>Scale Drawings &amp; Unit Conversions</t>
        </is>
      </c>
      <c r="J32" t="inlineStr">
        <is>
          <t>Reading: Tone / Attitude misinterpretation</t>
        </is>
      </c>
      <c r="K32">
        <f>COUNTIFS('Error Log'!$I$2:$I$500, J32)</f>
        <v/>
      </c>
      <c r="L32">
        <f>K32-ROW()/100000</f>
        <v/>
      </c>
      <c r="N32" t="inlineStr">
        <is>
          <t>Lack of parallel structure in list or comparison</t>
        </is>
      </c>
      <c r="O32">
        <f>COUNTIFS('Error Log'!$J$2:$J$500, N32)</f>
        <v/>
      </c>
      <c r="P32">
        <f>O32-ROW()/100000</f>
        <v/>
      </c>
    </row>
    <row r="33">
      <c r="D33" s="33" t="inlineStr">
        <is>
          <t>Reading: Transition logic choice error</t>
        </is>
      </c>
      <c r="E33" s="33" t="inlineStr">
        <is>
          <t>Semicolon/colon punctuation rule misapplied</t>
        </is>
      </c>
      <c r="F33" s="33" t="inlineStr">
        <is>
          <t>Verify that my selected choice matches all constraints in the question</t>
        </is>
      </c>
      <c r="I33" s="33" t="inlineStr">
        <is>
          <t>Percents &amp; Percent Change</t>
        </is>
      </c>
      <c r="J33" t="inlineStr">
        <is>
          <t>Reading: Transition logic choice error</t>
        </is>
      </c>
      <c r="K33">
        <f>COUNTIFS('Error Log'!$I$2:$I$500, J33)</f>
        <v/>
      </c>
      <c r="L33">
        <f>K33-ROW()/100000</f>
        <v/>
      </c>
      <c r="N33" t="inlineStr">
        <is>
          <t>Semicolon/colon punctuation rule misapplied</t>
        </is>
      </c>
      <c r="O33">
        <f>COUNTIFS('Error Log'!$J$2:$J$500, N33)</f>
        <v/>
      </c>
      <c r="P33">
        <f>O33-ROW()/100000</f>
        <v/>
      </c>
    </row>
    <row r="34">
      <c r="D34" s="33" t="inlineStr">
        <is>
          <t>Reading: Rhetorical synthesis goal mismatch</t>
        </is>
      </c>
      <c r="E34" s="33" t="inlineStr">
        <is>
          <t>Spent too much time on a difficult question (Sunk Cost Fallacy)</t>
        </is>
      </c>
      <c r="I34" s="33" t="inlineStr">
        <is>
          <t>Mean, Median, Mode &amp; Range</t>
        </is>
      </c>
      <c r="J34" t="inlineStr">
        <is>
          <t>Reading: Rhetorical synthesis goal mismatch</t>
        </is>
      </c>
      <c r="K34">
        <f>COUNTIFS('Error Log'!$I$2:$I$500, J34)</f>
        <v/>
      </c>
      <c r="L34">
        <f>K34-ROW()/100000</f>
        <v/>
      </c>
      <c r="N34" t="inlineStr">
        <is>
          <t>Spent too much time on a difficult question (Sunk Cost Fallacy)</t>
        </is>
      </c>
      <c r="O34">
        <f>COUNTIFS('Error Log'!$J$2:$J$500, N34)</f>
        <v/>
      </c>
      <c r="P34">
        <f>O34-ROW()/100000</f>
        <v/>
      </c>
    </row>
    <row r="35">
      <c r="D35" s="33" t="inlineStr">
        <is>
          <t>Writing: Sentence structure error (Run-on/Fragment)</t>
        </is>
      </c>
      <c r="E35" s="33" t="inlineStr">
        <is>
          <t>Panicked due to time pressure in the second module</t>
        </is>
      </c>
      <c r="I35" s="33" t="inlineStr">
        <is>
          <t>Standard Deviation &amp; Spread</t>
        </is>
      </c>
      <c r="J35" t="inlineStr">
        <is>
          <t>Writing: Sentence structure error (Run-on/Fragment)</t>
        </is>
      </c>
      <c r="K35">
        <f>COUNTIFS('Error Log'!$I$2:$I$500, J35)</f>
        <v/>
      </c>
      <c r="L35">
        <f>K35-ROW()/100000</f>
        <v/>
      </c>
      <c r="N35" t="inlineStr">
        <is>
          <t>Panicked due to time pressure in the second module</t>
        </is>
      </c>
      <c r="O35">
        <f>COUNTIFS('Error Log'!$J$2:$J$500, N35)</f>
        <v/>
      </c>
      <c r="P35">
        <f>O35-ROW()/100000</f>
        <v/>
      </c>
    </row>
    <row r="36">
      <c r="D36" s="33" t="inlineStr">
        <is>
          <t>Writing: Punctuation misinterpretation</t>
        </is>
      </c>
      <c r="E36" s="33" t="inlineStr">
        <is>
          <t>Rushed through easy questions and made silly slips</t>
        </is>
      </c>
      <c r="I36" s="33" t="inlineStr">
        <is>
          <t>Probability &amp; Conditional Probability</t>
        </is>
      </c>
      <c r="J36" t="inlineStr">
        <is>
          <t>Writing: Punctuation misinterpretation</t>
        </is>
      </c>
      <c r="K36">
        <f>COUNTIFS('Error Log'!$I$2:$I$500, J36)</f>
        <v/>
      </c>
      <c r="L36">
        <f>K36-ROW()/100000</f>
        <v/>
      </c>
      <c r="N36" t="inlineStr">
        <is>
          <t>Rushed through easy questions and made silly slips</t>
        </is>
      </c>
      <c r="O36">
        <f>COUNTIFS('Error Log'!$J$2:$J$500, N36)</f>
        <v/>
      </c>
      <c r="P36">
        <f>O36-ROW()/100000</f>
        <v/>
      </c>
    </row>
    <row r="37">
      <c r="D37" s="33" t="inlineStr">
        <is>
          <t>Scratchpad / Copy-paste transcription error</t>
        </is>
      </c>
      <c r="E37" s="33" t="inlineStr">
        <is>
          <t>Second-guessed original correct choice and changed it</t>
        </is>
      </c>
      <c r="I37" s="33" t="inlineStr">
        <is>
          <t>Scatterplots &amp; Line of Best Fit</t>
        </is>
      </c>
      <c r="J37" t="inlineStr">
        <is>
          <t>Scratchpad / Copy-paste transcription error</t>
        </is>
      </c>
      <c r="K37">
        <f>COUNTIFS('Error Log'!$I$2:$I$500, J37)</f>
        <v/>
      </c>
      <c r="L37">
        <f>K37-ROW()/100000</f>
        <v/>
      </c>
      <c r="N37" t="inlineStr">
        <is>
          <t>Second-guessed original correct choice and changed it</t>
        </is>
      </c>
      <c r="O37">
        <f>COUNTIFS('Error Log'!$J$2:$J$500, N37)</f>
        <v/>
      </c>
      <c r="P37">
        <f>O37-ROW()/100000</f>
        <v/>
      </c>
    </row>
    <row r="38">
      <c r="D38" s="33" t="inlineStr">
        <is>
          <t>Fatigue / Lack of Concentration</t>
        </is>
      </c>
      <c r="E38" s="33" t="inlineStr">
        <is>
          <t>Mental fatigue or brain fog near the end of a module</t>
        </is>
      </c>
      <c r="I38" s="33" t="inlineStr">
        <is>
          <t>Linear vs. Exponential Models</t>
        </is>
      </c>
      <c r="J38" t="inlineStr">
        <is>
          <t>Fatigue / Lack of Concentration</t>
        </is>
      </c>
      <c r="K38">
        <f>COUNTIFS('Error Log'!$I$2:$I$500, J38)</f>
        <v/>
      </c>
      <c r="L38">
        <f>K38-ROW()/100000</f>
        <v/>
      </c>
      <c r="N38" t="inlineStr">
        <is>
          <t>Mental fatigue or brain fog near the end of a module</t>
        </is>
      </c>
      <c r="O38">
        <f>COUNTIFS('Error Log'!$J$2:$J$500, N38)</f>
        <v/>
      </c>
      <c r="P38">
        <f>O38-ROW()/100000</f>
        <v/>
      </c>
    </row>
    <row r="39">
      <c r="D39" s="33" t="inlineStr">
        <is>
          <t>Process Error / Methodology Slip</t>
        </is>
      </c>
      <c r="E39" s="33" t="inlineStr">
        <is>
          <t>Unfamiliar vocabulary word in the context passage</t>
        </is>
      </c>
      <c r="I39" s="33" t="inlineStr">
        <is>
          <t>Margin of Error &amp; Confidence Intervals</t>
        </is>
      </c>
      <c r="J39" t="inlineStr">
        <is>
          <t>Process Error / Methodology Slip</t>
        </is>
      </c>
      <c r="K39">
        <f>COUNTIFS('Error Log'!$I$2:$I$500, J39)</f>
        <v/>
      </c>
      <c r="L39">
        <f>K39-ROW()/100000</f>
        <v/>
      </c>
      <c r="N39" t="inlineStr">
        <is>
          <t>Unfamiliar vocabulary word in the context passage</t>
        </is>
      </c>
      <c r="O39">
        <f>COUNTIFS('Error Log'!$J$2:$J$500, N39)</f>
        <v/>
      </c>
      <c r="P39">
        <f>O39-ROW()/100000</f>
        <v/>
      </c>
    </row>
    <row r="40">
      <c r="E40" s="33" t="inlineStr">
        <is>
          <t>Assumed incorrect definition for a vocabulary word</t>
        </is>
      </c>
      <c r="I40" s="33" t="inlineStr">
        <is>
          <t>Observational Studies &amp; Experiments</t>
        </is>
      </c>
      <c r="N40" t="inlineStr">
        <is>
          <t>Assumed incorrect definition for a vocabulary word</t>
        </is>
      </c>
      <c r="O40">
        <f>COUNTIFS('Error Log'!$J$2:$J$500, N40)</f>
        <v/>
      </c>
      <c r="P40">
        <f>O40-ROW()/100000</f>
        <v/>
      </c>
    </row>
    <row r="41">
      <c r="E41" s="33" t="inlineStr">
        <is>
          <t>Did not plug in answers or test numbers to double check</t>
        </is>
      </c>
      <c r="I41" s="33" t="inlineStr">
        <is>
          <t>Density &amp; Complex Ratios</t>
        </is>
      </c>
      <c r="N41" t="inlineStr">
        <is>
          <t>Did not plug in answers or test numbers to double check</t>
        </is>
      </c>
      <c r="O41">
        <f>COUNTIFS('Error Log'!$J$2:$J$500, N41)</f>
        <v/>
      </c>
      <c r="P41">
        <f>O41-ROW()/100000</f>
        <v/>
      </c>
    </row>
    <row r="42">
      <c r="I42" s="33" t="inlineStr">
        <is>
          <t>Multi-step Percent Word Problems (e.g. interest, discounts, tax)</t>
        </is>
      </c>
    </row>
    <row r="43">
      <c r="I43" s="33" t="inlineStr">
        <is>
          <t>Analyzing Distributions (Dot plots, Histograms, Box plots)</t>
        </is>
      </c>
    </row>
    <row r="44">
      <c r="I44" s="33" t="inlineStr">
        <is>
          <t>Two-way Tables &amp; Joint Frequency</t>
        </is>
      </c>
    </row>
    <row r="45">
      <c r="I45" s="33" t="inlineStr">
        <is>
          <t>Evaluating Experimental Design (Random Assignment vs Selection)</t>
        </is>
      </c>
    </row>
    <row r="46">
      <c r="I46" s="33" t="inlineStr">
        <is>
          <t>Estimating Population Parameters from Samples</t>
        </is>
      </c>
    </row>
    <row r="47">
      <c r="I47" s="33" t="inlineStr">
        <is>
          <t>Outliers and their Effect on Mean &amp; Median</t>
        </is>
      </c>
    </row>
    <row r="48">
      <c r="I48" s="33" t="inlineStr">
        <is>
          <t>Lines, Angles, &amp; Transversals</t>
        </is>
      </c>
    </row>
    <row r="49">
      <c r="I49" s="33" t="inlineStr">
        <is>
          <t>Congruent &amp; Similar Triangles</t>
        </is>
      </c>
    </row>
    <row r="50">
      <c r="I50" s="33" t="inlineStr">
        <is>
          <t>Right Triangle Trigonometry (SohCahToa)</t>
        </is>
      </c>
    </row>
    <row r="51">
      <c r="I51" s="33" t="inlineStr">
        <is>
          <t>Sine-Cosine Complementary Relationship</t>
        </is>
      </c>
    </row>
    <row r="52">
      <c r="I52" s="33" t="inlineStr">
        <is>
          <t>Arc Length &amp; Sector Area in Circles</t>
        </is>
      </c>
    </row>
    <row r="53">
      <c r="I53" s="33" t="inlineStr">
        <is>
          <t>Circle Theorems (Tangents, Inscribed Angles)</t>
        </is>
      </c>
    </row>
    <row r="54">
      <c r="I54" s="33" t="inlineStr">
        <is>
          <t>Circle Equations in Coordinate Plane</t>
        </is>
      </c>
    </row>
    <row r="55">
      <c r="I55" s="33" t="inlineStr">
        <is>
          <t>2D Area &amp; Perimeter (Triangles/Polygons)</t>
        </is>
      </c>
    </row>
    <row r="56">
      <c r="I56" s="33" t="inlineStr">
        <is>
          <t>3D Volume &amp; Surface Area (Prisms/Cylinders)</t>
        </is>
      </c>
    </row>
    <row r="57">
      <c r="I57" s="33" t="inlineStr">
        <is>
          <t>Special Right Triangles (30-60-90 &amp; 45-45-90)</t>
        </is>
      </c>
    </row>
    <row r="58">
      <c r="I58" s="33" t="inlineStr">
        <is>
          <t>Pythagorean Theorem &amp; Distance Formula</t>
        </is>
      </c>
    </row>
    <row r="59">
      <c r="I59" s="33" t="inlineStr">
        <is>
          <t>Radian-Degree Conversions</t>
        </is>
      </c>
    </row>
    <row r="60">
      <c r="I60" s="33" t="inlineStr">
        <is>
          <t>Trigonometric Identities (e.g., sin^2 + cos^2 = 1)</t>
        </is>
      </c>
    </row>
    <row r="61">
      <c r="I61" s="33" t="inlineStr">
        <is>
          <t>Coordinate Geometry: Midpoint &amp; Slope</t>
        </is>
      </c>
    </row>
    <row r="62">
      <c r="I62" s="33" t="inlineStr">
        <is>
          <t>Circle Equations: Completing the Square to Find Center/Radius</t>
        </is>
      </c>
    </row>
    <row r="63">
      <c r="I63" s="33" t="inlineStr">
        <is>
          <t>Area and Volume Scaling (Effects of resizing dimensions)</t>
        </is>
      </c>
    </row>
    <row r="64">
      <c r="I64" s="33" t="inlineStr">
        <is>
          <t>Angles in Polygons (Interior &amp; Exterior Angles)</t>
        </is>
      </c>
    </row>
    <row r="65">
      <c r="I65" s="33" t="inlineStr">
        <is>
          <t>Central Ideas &amp; Themes</t>
        </is>
      </c>
    </row>
    <row r="66">
      <c r="I66" s="33" t="inlineStr">
        <is>
          <t>Details &amp; Direct Comprehension</t>
        </is>
      </c>
    </row>
    <row r="67">
      <c r="I67" s="33" t="inlineStr">
        <is>
          <t>Command of Evidence (Textual)</t>
        </is>
      </c>
    </row>
    <row r="68">
      <c r="I68" s="33" t="inlineStr">
        <is>
          <t>Command of Evidence (Quantitative)</t>
        </is>
      </c>
    </row>
    <row r="69">
      <c r="I69" s="33" t="inlineStr">
        <is>
          <t>Inferences &amp; Logical Completion</t>
        </is>
      </c>
    </row>
    <row r="70">
      <c r="I70" s="33" t="inlineStr">
        <is>
          <t>Text Evidence Support &amp; Refutation</t>
        </is>
      </c>
    </row>
    <row r="71">
      <c r="I71" s="33" t="inlineStr">
        <is>
          <t>Summarizing Key Arguments</t>
        </is>
      </c>
    </row>
    <row r="72">
      <c r="I72" s="33" t="inlineStr">
        <is>
          <t>Data Graphic/Table interpretation in Context</t>
        </is>
      </c>
    </row>
    <row r="73">
      <c r="I73" s="33" t="inlineStr">
        <is>
          <t>Analyzing Logical Hypotheses in Passages</t>
        </is>
      </c>
    </row>
    <row r="74">
      <c r="I74" s="33" t="inlineStr">
        <is>
          <t>Words in Context (Vocabulary Fill-in)</t>
        </is>
      </c>
    </row>
    <row r="75">
      <c r="I75" s="33" t="inlineStr">
        <is>
          <t>Text Structure &amp; Author's Purpose</t>
        </is>
      </c>
    </row>
    <row r="76">
      <c r="I76" s="33" t="inlineStr">
        <is>
          <t>Cross-Text Connections</t>
        </is>
      </c>
    </row>
    <row r="77">
      <c r="I77" s="33" t="inlineStr">
        <is>
          <t>Analyzing Tone, Style, &amp; Perspective</t>
        </is>
      </c>
    </row>
    <row r="78">
      <c r="I78" s="33" t="inlineStr">
        <is>
          <t>Part of Speech Context Clues</t>
        </is>
      </c>
    </row>
    <row r="79">
      <c r="I79" s="33" t="inlineStr">
        <is>
          <t>Meaning of Words in Literary vs. Scientific Texts</t>
        </is>
      </c>
    </row>
    <row r="80">
      <c r="I80" s="33" t="inlineStr">
        <is>
          <t>Relationship between Paired Passages</t>
        </is>
      </c>
    </row>
    <row r="81">
      <c r="I81" s="33" t="inlineStr">
        <is>
          <t>Rhetorical Synthesis (Bullet Notes)</t>
        </is>
      </c>
    </row>
    <row r="82">
      <c r="I82" s="33" t="inlineStr">
        <is>
          <t>Transitions (Contrast)</t>
        </is>
      </c>
    </row>
    <row r="83">
      <c r="I83" s="33" t="inlineStr">
        <is>
          <t>Transitions (Cause/Effect)</t>
        </is>
      </c>
    </row>
    <row r="84">
      <c r="I84" s="33" t="inlineStr">
        <is>
          <t>Transitions (Addition/Example)</t>
        </is>
      </c>
    </row>
    <row r="85">
      <c r="I85" s="33" t="inlineStr">
        <is>
          <t>Rhetorical Synthesis: Minimizing/Emphasizing Information</t>
        </is>
      </c>
    </row>
    <row r="86">
      <c r="I86" s="33" t="inlineStr">
        <is>
          <t>Rhetorical Synthesis: Introducing a Topic/Book/Author</t>
        </is>
      </c>
    </row>
    <row r="87">
      <c r="I87" s="33" t="inlineStr">
        <is>
          <t>Rhetorical Synthesis: Summarizing a Study or Trend</t>
        </is>
      </c>
    </row>
    <row r="88">
      <c r="I88" s="33" t="inlineStr">
        <is>
          <t>Transitions (Time &amp; Sequence)</t>
        </is>
      </c>
    </row>
    <row r="89">
      <c r="I89" s="33" t="inlineStr">
        <is>
          <t>Transitions (Alternative/Similarity)</t>
        </is>
      </c>
    </row>
    <row r="90">
      <c r="I90" s="33" t="inlineStr">
        <is>
          <t>Punctuation (Commas/Semicolons/Colons/Dashes)</t>
        </is>
      </c>
    </row>
    <row r="91">
      <c r="I91" s="33" t="inlineStr">
        <is>
          <t>Subject-Verb Agreement</t>
        </is>
      </c>
    </row>
    <row r="92">
      <c r="I92" s="33" t="inlineStr">
        <is>
          <t>Pronoun-Antecedent Agreement</t>
        </is>
      </c>
    </row>
    <row r="93">
      <c r="I93" s="33" t="inlineStr">
        <is>
          <t>Verb Tense, Mood, &amp; Aspects</t>
        </is>
      </c>
    </row>
    <row r="94">
      <c r="I94" s="33" t="inlineStr">
        <is>
          <t>Parallel Structure (Lists/Comparisons)</t>
        </is>
      </c>
    </row>
    <row r="95">
      <c r="I95" s="33" t="inlineStr">
        <is>
          <t>Dangling &amp; Misplaced Modifiers</t>
        </is>
      </c>
    </row>
    <row r="96">
      <c r="I96" s="33" t="inlineStr">
        <is>
          <t>Noun Clauses (Appositives)</t>
        </is>
      </c>
    </row>
    <row r="97">
      <c r="I97" s="33" t="inlineStr">
        <is>
          <t>Idioms &amp; Prepositional Idioms</t>
        </is>
      </c>
    </row>
    <row r="98">
      <c r="I98" s="33" t="inlineStr">
        <is>
          <t>Sentence Structure: Run-on Sentences &amp; Fragments</t>
        </is>
      </c>
    </row>
    <row r="99">
      <c r="I99" s="33" t="inlineStr">
        <is>
          <t>Sentence Structure: Comma Splices &amp; Conjunctions</t>
        </is>
      </c>
    </row>
    <row r="100">
      <c r="I100" s="33" t="inlineStr">
        <is>
          <t>Plural vs. Possessive Nouns (e.g., cats' vs cat's)</t>
        </is>
      </c>
    </row>
    <row r="101">
      <c r="I101" s="33" t="inlineStr">
        <is>
          <t>Pronoun Case (Subjective, Objective, Possessive)</t>
        </is>
      </c>
    </row>
    <row r="102">
      <c r="I102" s="33" t="inlineStr">
        <is>
          <t>Ambiguous Pronouns (e.g., this, that, it, they without clear reference)</t>
        </is>
      </c>
    </row>
    <row r="103">
      <c r="I103" s="33" t="inlineStr">
        <is>
          <t>Relative Pronouns (Who vs Whom, Which vs That)</t>
        </is>
      </c>
    </row>
    <row r="104">
      <c r="I104" s="33" t="inlineStr">
        <is>
          <t>Semicolons vs Colons for Lists and Explanations</t>
        </is>
      </c>
    </row>
    <row r="105">
      <c r="I105" s="33" t="inlineStr">
        <is>
          <t>Dashes vs Parentheses for Parenthetical Elements</t>
        </is>
      </c>
    </row>
    <row r="106">
      <c r="I106" s="33" t="inlineStr">
        <is>
          <t>Correlative Conjunctions (Either/Or, Neither/Nor, Not Only/But Also)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2026-06-21T11:12:36Z</dcterms:created>
  <dcterms:modified xsi:type="dcterms:W3CDTF">2026-06-23T05:51:05Z</dcterms:modified>
</cp:coreProperties>
</file>